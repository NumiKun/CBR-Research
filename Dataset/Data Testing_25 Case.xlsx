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M:\Documents\Akademik\UIN Sunan Kalijaga\Penelitian\Co-Author\w MulyantoAPengembangan Penelitian Retrieval NLP-CBR\Workspace\New\Testing (25 Case)\"/>
    </mc:Choice>
  </mc:AlternateContent>
  <xr:revisionPtr revIDLastSave="0" documentId="13_ncr:1_{E0785022-7471-40E7-829A-94C276514673}" xr6:coauthVersionLast="47" xr6:coauthVersionMax="47" xr10:uidLastSave="{00000000-0000-0000-0000-000000000000}"/>
  <bookViews>
    <workbookView xWindow="-120" yWindow="-120" windowWidth="29040" windowHeight="16440" firstSheet="1" activeTab="1" xr2:uid="{00000000-000D-0000-FFFF-FFFF00000000}"/>
  </bookViews>
  <sheets>
    <sheet name="Data 1.1 Case" sheetId="3" r:id="rId1"/>
    <sheet name="Data 1.1 Case (remove formula)" sheetId="4" r:id="rId2"/>
    <sheet name="Data 1.1 Symptom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4" l="1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E3" i="3"/>
  <c r="G9" i="3"/>
  <c r="F9" i="3"/>
  <c r="E9" i="3"/>
  <c r="G42" i="3"/>
  <c r="F42" i="3"/>
  <c r="E42" i="3"/>
  <c r="G41" i="3"/>
  <c r="F41" i="3"/>
  <c r="E41" i="3"/>
  <c r="G40" i="3"/>
  <c r="F40" i="3"/>
  <c r="E40" i="3"/>
  <c r="G39" i="3"/>
  <c r="F39" i="3"/>
  <c r="E39" i="3"/>
  <c r="G38" i="3"/>
  <c r="F38" i="3"/>
  <c r="E38" i="3"/>
  <c r="G37" i="3"/>
  <c r="F37" i="3"/>
  <c r="E37" i="3"/>
  <c r="G36" i="3"/>
  <c r="F36" i="3"/>
  <c r="E36" i="3"/>
  <c r="G35" i="3"/>
  <c r="F35" i="3"/>
  <c r="E35" i="3"/>
  <c r="G34" i="3"/>
  <c r="F34" i="3"/>
  <c r="E34" i="3"/>
  <c r="G33" i="3"/>
  <c r="F33" i="3"/>
  <c r="E33" i="3"/>
  <c r="G32" i="3"/>
  <c r="F32" i="3"/>
  <c r="E32" i="3"/>
  <c r="G31" i="3"/>
  <c r="F31" i="3"/>
  <c r="E31" i="3"/>
  <c r="G30" i="3"/>
  <c r="F30" i="3"/>
  <c r="E30" i="3"/>
  <c r="G29" i="3"/>
  <c r="F29" i="3"/>
  <c r="E29" i="3"/>
  <c r="G27" i="3"/>
  <c r="F27" i="3"/>
  <c r="E27" i="3"/>
  <c r="G28" i="3"/>
  <c r="F28" i="3"/>
  <c r="E28" i="3"/>
  <c r="G25" i="3"/>
  <c r="F25" i="3"/>
  <c r="E25" i="3"/>
  <c r="G26" i="3"/>
  <c r="F26" i="3"/>
  <c r="E26" i="3"/>
  <c r="G24" i="3"/>
  <c r="F24" i="3"/>
  <c r="E24" i="3"/>
  <c r="G23" i="3"/>
  <c r="F23" i="3"/>
  <c r="E23" i="3"/>
  <c r="G22" i="3"/>
  <c r="F22" i="3"/>
  <c r="E22" i="3"/>
  <c r="G21" i="3"/>
  <c r="F21" i="3"/>
  <c r="E21" i="3"/>
  <c r="G20" i="3"/>
  <c r="F20" i="3"/>
  <c r="E20" i="3"/>
  <c r="G19" i="3"/>
  <c r="F19" i="3"/>
  <c r="E19" i="3"/>
  <c r="G18" i="3"/>
  <c r="F18" i="3"/>
  <c r="E18" i="3"/>
  <c r="G17" i="3"/>
  <c r="F17" i="3"/>
  <c r="E17" i="3"/>
  <c r="G16" i="3"/>
  <c r="F16" i="3"/>
  <c r="E16" i="3"/>
  <c r="G15" i="3"/>
  <c r="F15" i="3"/>
  <c r="E15" i="3"/>
  <c r="G14" i="3"/>
  <c r="F14" i="3"/>
  <c r="E14" i="3"/>
  <c r="G12" i="3"/>
  <c r="F12" i="3"/>
  <c r="E12" i="3"/>
  <c r="G13" i="3"/>
  <c r="F13" i="3"/>
  <c r="E13" i="3"/>
  <c r="G10" i="3"/>
  <c r="F10" i="3"/>
  <c r="E10" i="3"/>
  <c r="G11" i="3"/>
  <c r="F11" i="3"/>
  <c r="E11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</calcChain>
</file>

<file path=xl/sharedStrings.xml><?xml version="1.0" encoding="utf-8"?>
<sst xmlns="http://schemas.openxmlformats.org/spreadsheetml/2006/main" count="1359" uniqueCount="550">
  <si>
    <t>maagh nyeri perut;mual;nyeri kepala;resep antasida;headache 4xsebulan;riwayat jatuh</t>
  </si>
  <si>
    <t>no</t>
  </si>
  <si>
    <t>normalized</t>
  </si>
  <si>
    <t>case_code</t>
  </si>
  <si>
    <t>icd_x</t>
  </si>
  <si>
    <t>case_id</t>
  </si>
  <si>
    <t>no_raw</t>
  </si>
  <si>
    <t>raw_semicolon</t>
  </si>
  <si>
    <t>normalized_semicolon</t>
  </si>
  <si>
    <t>raw</t>
  </si>
  <si>
    <t>symptom_code_with_negativity</t>
  </si>
  <si>
    <t>negativity</t>
  </si>
  <si>
    <t>symptom_code</t>
  </si>
  <si>
    <t>G44.0</t>
  </si>
  <si>
    <t>G31</t>
  </si>
  <si>
    <t>O</t>
  </si>
  <si>
    <t>G32</t>
  </si>
  <si>
    <t>T</t>
  </si>
  <si>
    <t>pusing(+)</t>
  </si>
  <si>
    <t>pusing</t>
  </si>
  <si>
    <t>G0</t>
  </si>
  <si>
    <t>XG61</t>
  </si>
  <si>
    <t>G61</t>
  </si>
  <si>
    <t>muntah(-)</t>
  </si>
  <si>
    <t>muntah nihil</t>
  </si>
  <si>
    <t>XG62</t>
  </si>
  <si>
    <t>G62</t>
  </si>
  <si>
    <t>alergi obat(-)</t>
  </si>
  <si>
    <t>alergi obat nihil</t>
  </si>
  <si>
    <t>G23</t>
  </si>
  <si>
    <t>G614</t>
  </si>
  <si>
    <t>G34</t>
  </si>
  <si>
    <t>mual nihil</t>
  </si>
  <si>
    <t>nyeri kepala</t>
  </si>
  <si>
    <t>mual (-)</t>
  </si>
  <si>
    <t>alergi obat (-)</t>
  </si>
  <si>
    <t>G21</t>
  </si>
  <si>
    <t>mual</t>
  </si>
  <si>
    <t>batuk</t>
  </si>
  <si>
    <t>mual(-)</t>
  </si>
  <si>
    <t>symptom_id</t>
  </si>
  <si>
    <t>case_codes</t>
  </si>
  <si>
    <t>Mual nihil</t>
  </si>
  <si>
    <t>Mual (-)</t>
  </si>
  <si>
    <t>38</t>
  </si>
  <si>
    <t>65</t>
  </si>
  <si>
    <t>G44.2</t>
  </si>
  <si>
    <t>Muntah nihil</t>
  </si>
  <si>
    <t>Muntah (-)</t>
  </si>
  <si>
    <t>37</t>
  </si>
  <si>
    <t>64</t>
  </si>
  <si>
    <t>Mual</t>
  </si>
  <si>
    <t>Mual (+)</t>
  </si>
  <si>
    <t>36</t>
  </si>
  <si>
    <t>63</t>
  </si>
  <si>
    <t>G612</t>
  </si>
  <si>
    <t>XG612</t>
  </si>
  <si>
    <t>batuk nihil</t>
  </si>
  <si>
    <t>batuk (-)</t>
  </si>
  <si>
    <t>G93</t>
  </si>
  <si>
    <t>35</t>
  </si>
  <si>
    <t>62</t>
  </si>
  <si>
    <t>G15</t>
  </si>
  <si>
    <t>nyeri kepala seperti terikat</t>
  </si>
  <si>
    <t>34</t>
  </si>
  <si>
    <t>61</t>
  </si>
  <si>
    <t>G52</t>
  </si>
  <si>
    <t>33</t>
  </si>
  <si>
    <t>60</t>
  </si>
  <si>
    <t>G11</t>
  </si>
  <si>
    <t>G13</t>
  </si>
  <si>
    <t>kepala terasa berat</t>
  </si>
  <si>
    <t>Alergi obat nihil</t>
  </si>
  <si>
    <t>Alergi obat (-)</t>
  </si>
  <si>
    <t>32</t>
  </si>
  <si>
    <t>59</t>
  </si>
  <si>
    <t>Demam nihil</t>
  </si>
  <si>
    <t>Demam (-)</t>
  </si>
  <si>
    <t>31</t>
  </si>
  <si>
    <t>58</t>
  </si>
  <si>
    <t>batuk (+)</t>
  </si>
  <si>
    <t>30</t>
  </si>
  <si>
    <t>G51</t>
  </si>
  <si>
    <t>29</t>
  </si>
  <si>
    <t>56</t>
  </si>
  <si>
    <t>Diare nihil</t>
  </si>
  <si>
    <t>Diare (-)</t>
  </si>
  <si>
    <t>Nyeri kepala</t>
  </si>
  <si>
    <t>G68</t>
  </si>
  <si>
    <t>28</t>
  </si>
  <si>
    <t>55</t>
  </si>
  <si>
    <t>27</t>
  </si>
  <si>
    <t>54</t>
  </si>
  <si>
    <t>26</t>
  </si>
  <si>
    <t>25</t>
  </si>
  <si>
    <t>24</t>
  </si>
  <si>
    <t>23</t>
  </si>
  <si>
    <t>50</t>
  </si>
  <si>
    <t>22</t>
  </si>
  <si>
    <t>21</t>
  </si>
  <si>
    <t>48</t>
  </si>
  <si>
    <t>20</t>
  </si>
  <si>
    <t>47</t>
  </si>
  <si>
    <t>19</t>
  </si>
  <si>
    <t>46</t>
  </si>
  <si>
    <t>demam nihil</t>
  </si>
  <si>
    <t>Kepala terasa pusing (+)</t>
  </si>
  <si>
    <t>18</t>
  </si>
  <si>
    <t>45</t>
  </si>
  <si>
    <t>17</t>
  </si>
  <si>
    <t>44</t>
  </si>
  <si>
    <t>kurang lebih 1 minggu</t>
  </si>
  <si>
    <t>+-1minggu</t>
  </si>
  <si>
    <t>15</t>
  </si>
  <si>
    <t>43</t>
  </si>
  <si>
    <t>14</t>
  </si>
  <si>
    <t>42</t>
  </si>
  <si>
    <t>tengkuk terasa kaku</t>
  </si>
  <si>
    <t>13</t>
  </si>
  <si>
    <t>41</t>
  </si>
  <si>
    <t>pusing (+)</t>
  </si>
  <si>
    <t>pilek nihil</t>
  </si>
  <si>
    <t>12</t>
  </si>
  <si>
    <t>11</t>
  </si>
  <si>
    <t>cekot cekot</t>
  </si>
  <si>
    <t>cekot2 (+)</t>
  </si>
  <si>
    <t>10</t>
  </si>
  <si>
    <t>9</t>
  </si>
  <si>
    <t>8</t>
  </si>
  <si>
    <t>nyeri kepala berdenyut</t>
  </si>
  <si>
    <t>7</t>
  </si>
  <si>
    <t>6</t>
  </si>
  <si>
    <t>alergi obat -</t>
  </si>
  <si>
    <t>4</t>
  </si>
  <si>
    <t>muntah</t>
  </si>
  <si>
    <t>3</t>
  </si>
  <si>
    <t>2</t>
  </si>
  <si>
    <t>1</t>
  </si>
  <si>
    <t>G24</t>
  </si>
  <si>
    <t>G64</t>
  </si>
  <si>
    <t>gatal nihil</t>
  </si>
  <si>
    <t>gatal (-)</t>
  </si>
  <si>
    <t>XG64</t>
  </si>
  <si>
    <t>penglihatan normal</t>
  </si>
  <si>
    <t>kemerahan nihil</t>
  </si>
  <si>
    <t>kemerahan (-)</t>
  </si>
  <si>
    <t>16</t>
  </si>
  <si>
    <t>5</t>
  </si>
  <si>
    <t>52</t>
  </si>
  <si>
    <t>53</t>
  </si>
  <si>
    <t>57</t>
  </si>
  <si>
    <t>diare nihil</t>
  </si>
  <si>
    <t>pusing sebelah kiri;sejak kemaren;tengkuk bahu terasa kaku</t>
  </si>
  <si>
    <t>pusing sebelah kiri;sejak kemarin;tengkuk bahu terasa kaku</t>
  </si>
  <si>
    <t>G23,G52,G614</t>
  </si>
  <si>
    <t>KOnsultasi rujukan;hidung masih mampet;pusing(+);sesak(+)</t>
  </si>
  <si>
    <t>konsultasi rujukan;hidung masih mampet;pusing;sesak</t>
  </si>
  <si>
    <t>T,G611,G0,O</t>
  </si>
  <si>
    <t>KOnsultasi rujukan</t>
  </si>
  <si>
    <t>konsultasi rujukan</t>
  </si>
  <si>
    <t>hidung masih mampet</t>
  </si>
  <si>
    <t>G611</t>
  </si>
  <si>
    <t>sesak(+)</t>
  </si>
  <si>
    <t>sesak</t>
  </si>
  <si>
    <t>Pusing berputar(+);mual(+);muntah saat pusing;sejak lebaran kemaren</t>
  </si>
  <si>
    <t>Pusing berputar;mual;muntah saat pusing;sejak lebaran kemarin</t>
  </si>
  <si>
    <t>O,G61,G62,T</t>
  </si>
  <si>
    <t>Pusing berputar(+)</t>
  </si>
  <si>
    <t>Pusing berputar</t>
  </si>
  <si>
    <t>mual(+)</t>
  </si>
  <si>
    <t>muntah saat pusing</t>
  </si>
  <si>
    <t>sejak lebaran kemaren</t>
  </si>
  <si>
    <t>sejak lebaran kemarin</t>
  </si>
  <si>
    <t>Nyeri kepala(+);badan meriang(+);mual(+);sejak 2 hr;alergi obat(-)</t>
  </si>
  <si>
    <t>nyeri kepala;badan meriang;mual;sejak 2 hari;alergi obat nihil</t>
  </si>
  <si>
    <t>G0,O,G61,G52,T</t>
  </si>
  <si>
    <t>Nyeri kepala(+)</t>
  </si>
  <si>
    <t>39</t>
  </si>
  <si>
    <t>badan meriang(+)</t>
  </si>
  <si>
    <t>badan meriang</t>
  </si>
  <si>
    <t>40</t>
  </si>
  <si>
    <t>sejak 2 hr</t>
  </si>
  <si>
    <t>sejak 2 hari</t>
  </si>
  <si>
    <t>49</t>
  </si>
  <si>
    <t>pusing sebelah kiri</t>
  </si>
  <si>
    <t>sejak kemaren</t>
  </si>
  <si>
    <t>sejak kemarin</t>
  </si>
  <si>
    <t>51</t>
  </si>
  <si>
    <t>tengkuk bahu terasa kaku</t>
  </si>
  <si>
    <t>Pusing(+);terasa tdk nyaman di badan;tengkiuk terasa kaku</t>
  </si>
  <si>
    <t>Pusing;terasa tidak nyaman di badan;tengkuk terasa kaku</t>
  </si>
  <si>
    <t>G0,O,G614</t>
  </si>
  <si>
    <t>Pusing(+)</t>
  </si>
  <si>
    <t>Pusing</t>
  </si>
  <si>
    <t>66</t>
  </si>
  <si>
    <t>terasa tdk nyaman di badan</t>
  </si>
  <si>
    <t>terasa tidak nyaman di badan</t>
  </si>
  <si>
    <t>67</t>
  </si>
  <si>
    <t>tengkiuk terasa kaku</t>
  </si>
  <si>
    <t>68</t>
  </si>
  <si>
    <t>Tengkuk terasa kaku , tegang;resume dr RS Srdjito diangnosa Migrainosisi;IGD 2x;20,8;elicaf 2dd1;anatak 2dd1;mecobilamid 2dd 500 mg;Dx migrain;reflek patologi (-);IGD 30 sept 2019</t>
  </si>
  <si>
    <t>tengkuk terasa kaku, tegang;resume dari RS Sardjito diangnosa Migrainosisi;IGD 2 kali;20.8;elicaf 2dd1;anatak 2dd1;mecobilamid 2dd 500 mg;dx migrain;reflek patologi nihil;IGD 30 september 2019</t>
  </si>
  <si>
    <t>G614,G11,G43,O,G11,G11,G11,G23,O,G43</t>
  </si>
  <si>
    <t>Tengkuk terasa kaku , tegang</t>
  </si>
  <si>
    <t>tengkuk terasa kaku, tegang</t>
  </si>
  <si>
    <t>69</t>
  </si>
  <si>
    <t>resume dr RS Srdjito diangnosa Migrainosisi</t>
  </si>
  <si>
    <t>resume dari RS Sardjito diangnosa Migrainosisi</t>
  </si>
  <si>
    <t>70</t>
  </si>
  <si>
    <t>IGD 2x</t>
  </si>
  <si>
    <t>IGD 2 kali</t>
  </si>
  <si>
    <t>G43</t>
  </si>
  <si>
    <t>71</t>
  </si>
  <si>
    <t>20,8</t>
  </si>
  <si>
    <t>20.8</t>
  </si>
  <si>
    <t>72</t>
  </si>
  <si>
    <t>elicaf 2dd1</t>
  </si>
  <si>
    <t>73</t>
  </si>
  <si>
    <t>anatak 2dd1</t>
  </si>
  <si>
    <t>74</t>
  </si>
  <si>
    <t>mecobilamid 2dd 500 mg</t>
  </si>
  <si>
    <t>75</t>
  </si>
  <si>
    <t>Dx migrain</t>
  </si>
  <si>
    <t>dx migrain</t>
  </si>
  <si>
    <t>76</t>
  </si>
  <si>
    <t>reflek patologi (-)</t>
  </si>
  <si>
    <t>reflek patologi nihil</t>
  </si>
  <si>
    <t>77</t>
  </si>
  <si>
    <t>IGD 30 sept 2019</t>
  </si>
  <si>
    <t>IGD 30 september 2019</t>
  </si>
  <si>
    <t>78</t>
  </si>
  <si>
    <t>pusing di daerah dahi sekitar mata;dan pusing dimkepala bagian belakang kanan;+-7hari;riwayat visus -0,75 dan -0,25;mual +;sensitive cahaya;alergi obat -</t>
  </si>
  <si>
    <t>pusing di daerah dahi sekitar mata;dan pusing di kepala bagian belakang kanan;kurang lebih 7 hari;riwayat visus minus 0.75 dan minus 0.25;mual;sensitif cahaya;alergi obat nihil</t>
  </si>
  <si>
    <t>G24,G23,G31,O,G61,G64,T</t>
  </si>
  <si>
    <t>pusing di daerah dahi sekitar mata</t>
  </si>
  <si>
    <t>79</t>
  </si>
  <si>
    <t>dan pusing dimkepala bagian belakang kanan</t>
  </si>
  <si>
    <t>dan pusing di kepala bagian belakang kanan</t>
  </si>
  <si>
    <t>80</t>
  </si>
  <si>
    <t>+-7hari</t>
  </si>
  <si>
    <t>kurang lebih 7 hari</t>
  </si>
  <si>
    <t>81</t>
  </si>
  <si>
    <t>riwayat visus -0,75 dan -0,25</t>
  </si>
  <si>
    <t>riwayat visus minus 0.75 dan minus 0.25</t>
  </si>
  <si>
    <t>82</t>
  </si>
  <si>
    <t>mual +</t>
  </si>
  <si>
    <t>83</t>
  </si>
  <si>
    <t>sensitive cahaya</t>
  </si>
  <si>
    <t>sensitif cahaya</t>
  </si>
  <si>
    <t>84</t>
  </si>
  <si>
    <t>100</t>
  </si>
  <si>
    <t>nyeri kepala berdenyut(+);2 bln;bengkak telinga kanan di sertai nyeri (+);sdh periksa Rs Hidayatullah di beri obat;blm sembuh;pilek (+);batuk (+);telinga kanan bengkak;nyeri (+);alergi obat (-)</t>
  </si>
  <si>
    <t>nyeri kepala berdenyut;2 bulan;bengkak telinga kanan disertai nyeri;sudah periksa RS hidayatullah diberi obat;belum sembuh;pilek;batuk;telinga kanan bengkak;nyeri;alergi obat nihil</t>
  </si>
  <si>
    <t>G11,G32,O,T,T,G612,O,O,O,T</t>
  </si>
  <si>
    <t>nyeri kepala berdenyut(+)</t>
  </si>
  <si>
    <t>101</t>
  </si>
  <si>
    <t>2 bln</t>
  </si>
  <si>
    <t>2 bulan</t>
  </si>
  <si>
    <t>102</t>
  </si>
  <si>
    <t>bengkak telinga kanan di sertai nyeri (+)</t>
  </si>
  <si>
    <t>bengkak telinga kanan disertai nyeri</t>
  </si>
  <si>
    <t>103</t>
  </si>
  <si>
    <t>sdh periksa Rs Hidayatullah di beri obat</t>
  </si>
  <si>
    <t>sudah periksa RS hidayatullah diberi obat</t>
  </si>
  <si>
    <t>104</t>
  </si>
  <si>
    <t>blm sembuh</t>
  </si>
  <si>
    <t>belum sembuh</t>
  </si>
  <si>
    <t>105</t>
  </si>
  <si>
    <t>pilek (+)</t>
  </si>
  <si>
    <t>pilek</t>
  </si>
  <si>
    <t>106</t>
  </si>
  <si>
    <t>107</t>
  </si>
  <si>
    <t>telinga kanan bengkak</t>
  </si>
  <si>
    <t>108</t>
  </si>
  <si>
    <t>nyeri (+)</t>
  </si>
  <si>
    <t>nyeri</t>
  </si>
  <si>
    <t>109</t>
  </si>
  <si>
    <t>115</t>
  </si>
  <si>
    <t>Mata kiri terasa nyeri(+);kemerahan (-);Penglihatan normal(+);3 hari pusing;mkn perih(-);gatal (-);kotoran mata (-)</t>
  </si>
  <si>
    <t>Mata kiri terasa nyeri;kemerahan nihil;penglihatan normal;3 hari pusing;makan perih nihil;gatal nihil;kotoran mata nihil</t>
  </si>
  <si>
    <t>G24,O,XG64,G0,O,O,O</t>
  </si>
  <si>
    <t>Mata kiri terasa nyeri(+)</t>
  </si>
  <si>
    <t>Mata kiri terasa nyeri</t>
  </si>
  <si>
    <t>116</t>
  </si>
  <si>
    <t>117</t>
  </si>
  <si>
    <t>Penglihatan normal(+)</t>
  </si>
  <si>
    <t>118</t>
  </si>
  <si>
    <t>3 hari pusing</t>
  </si>
  <si>
    <t>119</t>
  </si>
  <si>
    <t>mkn perih(-)</t>
  </si>
  <si>
    <t>makan perih nihil</t>
  </si>
  <si>
    <t>120</t>
  </si>
  <si>
    <t>121</t>
  </si>
  <si>
    <t>kotoran mata (-)</t>
  </si>
  <si>
    <t>kotoran mata nihil</t>
  </si>
  <si>
    <t>159</t>
  </si>
  <si>
    <t>tengku terasa kenceng2;pusing</t>
  </si>
  <si>
    <t>tengkuk terasa kenceng kenceng;pusing</t>
  </si>
  <si>
    <t>G614,G0</t>
  </si>
  <si>
    <t>tengku terasa kenceng2</t>
  </si>
  <si>
    <t>tengkuk terasa kenceng kenceng</t>
  </si>
  <si>
    <t>160</t>
  </si>
  <si>
    <t>161</t>
  </si>
  <si>
    <t>pusing;jantung berdebar;kadang ulu hati nyeri jika terlambat makan</t>
  </si>
  <si>
    <t>G0,O,G93</t>
  </si>
  <si>
    <t>162</t>
  </si>
  <si>
    <t>jantung berdebar</t>
  </si>
  <si>
    <t>163</t>
  </si>
  <si>
    <t>kadang ulu hati nyeri jika terlambat makan</t>
  </si>
  <si>
    <t>164</t>
  </si>
  <si>
    <t>Pusing(+);mual(-);muntah</t>
  </si>
  <si>
    <t>Pusing;mual nihil;muntah</t>
  </si>
  <si>
    <t>G0,XG61,G62</t>
  </si>
  <si>
    <t>165</t>
  </si>
  <si>
    <t>166</t>
  </si>
  <si>
    <t>167</t>
  </si>
  <si>
    <t>Pusing;pilek;batuk</t>
  </si>
  <si>
    <t>G0,G612,O</t>
  </si>
  <si>
    <t>168</t>
  </si>
  <si>
    <t>169</t>
  </si>
  <si>
    <t>199</t>
  </si>
  <si>
    <t>Kepala terasa pusing (+);Leher terasa kaku (+);Mual Muntah (-);+-1hari riwayat magh (-)</t>
  </si>
  <si>
    <t>kepala terasa pusing;leher terasa kaku;Mual Muntah nihil;kurang lebih 1 hari riwayat magh nihil</t>
  </si>
  <si>
    <t>G0,G614,XG61,O</t>
  </si>
  <si>
    <t>kepala terasa pusing</t>
  </si>
  <si>
    <t>200</t>
  </si>
  <si>
    <t>Leher terasa kaku (+)</t>
  </si>
  <si>
    <t>leher terasa kaku</t>
  </si>
  <si>
    <t>201</t>
  </si>
  <si>
    <t>Mual Muntah (-)</t>
  </si>
  <si>
    <t>Mual Muntah nihil</t>
  </si>
  <si>
    <t>202</t>
  </si>
  <si>
    <t>+-1hari riwayat magh (-)</t>
  </si>
  <si>
    <t>kurang lebih 1 hari riwayat magh nihil</t>
  </si>
  <si>
    <t>203</t>
  </si>
  <si>
    <t>Kepala terasa sakit (+);pusing (+);berputar (-);badan terasa lemes (+);demam(-);batuk (-);pilek(-);sesak 3 hr;tengkuk cengeng(-);cekot2 (+);mual(-);muntah(-);Rw magh (-)</t>
  </si>
  <si>
    <t>Kepala terasa sakit;pusing;berputar nihil;badan terasa lemes;demam nihil;batuk nihil;pilek nihil;sesak 3 hari;tengkuk cengeng nihil;cekot cekot;mual nihil;muntah nihil;riwayat magh nihil</t>
  </si>
  <si>
    <t>G0,G0,O,O,O,O,XG612,O,XG614,G11,XG61,XG62,O</t>
  </si>
  <si>
    <t>Kepala terasa sakit (+)</t>
  </si>
  <si>
    <t>Kepala terasa sakit</t>
  </si>
  <si>
    <t>204</t>
  </si>
  <si>
    <t>205</t>
  </si>
  <si>
    <t>berputar (-)</t>
  </si>
  <si>
    <t>berputar nihil</t>
  </si>
  <si>
    <t>206</t>
  </si>
  <si>
    <t>badan terasa lemes (+)</t>
  </si>
  <si>
    <t>badan terasa lemes</t>
  </si>
  <si>
    <t>207</t>
  </si>
  <si>
    <t>demam(-)</t>
  </si>
  <si>
    <t>208</t>
  </si>
  <si>
    <t>209</t>
  </si>
  <si>
    <t>pilek(-)</t>
  </si>
  <si>
    <t>210</t>
  </si>
  <si>
    <t>sesak 3 hr</t>
  </si>
  <si>
    <t>sesak 3 hari</t>
  </si>
  <si>
    <t>211</t>
  </si>
  <si>
    <t>tengkuk cengeng(-)</t>
  </si>
  <si>
    <t>tengkuk cengeng nihil</t>
  </si>
  <si>
    <t>XG614</t>
  </si>
  <si>
    <t>212</t>
  </si>
  <si>
    <t>213</t>
  </si>
  <si>
    <t>214</t>
  </si>
  <si>
    <t>215</t>
  </si>
  <si>
    <t>Rw magh (-)</t>
  </si>
  <si>
    <t>riwayat magh nihil</t>
  </si>
  <si>
    <t>216</t>
  </si>
  <si>
    <t>Nyeri kepala (+) berputar;Mual (+);Muntah (-);Nyeri lambung (+);Diare (-);Batuk (-);Dada terasa sesak (+);panas perih;surat ket sakit (+);pahit kecut dilidah (+);Alergi analsix (+)</t>
  </si>
  <si>
    <t>Nyeri kepala berputar;Mual;Muntah nihil;nyeri lambung;diare nihil;Batuk nihil;dada terasa sesak;panas perih;surat keterangan sakit;pahit kecut di lidah;alergi analsix</t>
  </si>
  <si>
    <t>O,G61,XG62,G93,O,O,O,G93,T,O,T</t>
  </si>
  <si>
    <t>Nyeri kepala (+) berputar</t>
  </si>
  <si>
    <t>Nyeri kepala berputar</t>
  </si>
  <si>
    <t>217</t>
  </si>
  <si>
    <t>218</t>
  </si>
  <si>
    <t>219</t>
  </si>
  <si>
    <t>Nyeri lambung (+)</t>
  </si>
  <si>
    <t>nyeri lambung</t>
  </si>
  <si>
    <t>220</t>
  </si>
  <si>
    <t>221</t>
  </si>
  <si>
    <t>Batuk (-)</t>
  </si>
  <si>
    <t>Batuk nihil</t>
  </si>
  <si>
    <t>222</t>
  </si>
  <si>
    <t>Dada terasa sesak (+)</t>
  </si>
  <si>
    <t>dada terasa sesak</t>
  </si>
  <si>
    <t>223</t>
  </si>
  <si>
    <t>panas perih</t>
  </si>
  <si>
    <t>224</t>
  </si>
  <si>
    <t>surat ket sakit (+)</t>
  </si>
  <si>
    <t>surat keterangan sakit</t>
  </si>
  <si>
    <t>225</t>
  </si>
  <si>
    <t>pahit kecut dilidah (+)</t>
  </si>
  <si>
    <t>pahit kecut di lidah</t>
  </si>
  <si>
    <t>226</t>
  </si>
  <si>
    <t>Alergi analsix (+)</t>
  </si>
  <si>
    <t>alergi analsix</t>
  </si>
  <si>
    <t>244</t>
  </si>
  <si>
    <t>Telinga berdering (+);Nyeri (-);Pusing (+) +-1minggu;Mual (+)</t>
  </si>
  <si>
    <t>Telinga berdering;Nyeri nihil;Pusing kurang lebih 1 minggu;mual</t>
  </si>
  <si>
    <t>O,O,G51,G61</t>
  </si>
  <si>
    <t>Telinga berdering (+)</t>
  </si>
  <si>
    <t>Telinga berdering</t>
  </si>
  <si>
    <t>245</t>
  </si>
  <si>
    <t>Nyeri (-)</t>
  </si>
  <si>
    <t>Nyeri nihil</t>
  </si>
  <si>
    <t>246</t>
  </si>
  <si>
    <t>Pusing (+) +-1minggu</t>
  </si>
  <si>
    <t>Pusing kurang lebih 1 minggu</t>
  </si>
  <si>
    <t>247</t>
  </si>
  <si>
    <t>248</t>
  </si>
  <si>
    <t>nyeri kepala sebelah;+-1minggu;mual (-);batuk sedikit (+);cek asam urat, kolesterol, gula darah;perut perih (+);panas (+);dada kurang nyaman (+);mulut pahit (+)</t>
  </si>
  <si>
    <t>nyeri kepala sebelah;kurang lebih 1 minggu;mual nihil;batuk sedikit;cek asam urat, kolesterol, gula darah;perut perih;panas;dada kurang nyaman;mulut pahit</t>
  </si>
  <si>
    <t>G23,G51,XG61,O,T,O,O,O,O</t>
  </si>
  <si>
    <t>nyeri kepala sebelah</t>
  </si>
  <si>
    <t>249</t>
  </si>
  <si>
    <t>250</t>
  </si>
  <si>
    <t>251</t>
  </si>
  <si>
    <t>batuk sedikit (+)</t>
  </si>
  <si>
    <t>batuk sedikit</t>
  </si>
  <si>
    <t>252</t>
  </si>
  <si>
    <t>cek asam urat, kolesterol, gula darah</t>
  </si>
  <si>
    <t>253</t>
  </si>
  <si>
    <t>perut perih (+)</t>
  </si>
  <si>
    <t>perut perih</t>
  </si>
  <si>
    <t>254</t>
  </si>
  <si>
    <t>panas (+)</t>
  </si>
  <si>
    <t>panas</t>
  </si>
  <si>
    <t>255</t>
  </si>
  <si>
    <t>dada kurang nyaman (+)</t>
  </si>
  <si>
    <t>dada kurang nyaman</t>
  </si>
  <si>
    <t>256</t>
  </si>
  <si>
    <t>mulut pahit (+)</t>
  </si>
  <si>
    <t>mulut pahit</t>
  </si>
  <si>
    <t>257</t>
  </si>
  <si>
    <t>sakit kepala (+);mual muntah (-);nyeri kepala saat sujud sholat (+);+-3hari;terasa berat (+);minum simvastatin;kesemutan di tangan kaki terutama bangun tidur (+)</t>
  </si>
  <si>
    <t>sakit kepala;mual muntah nihil;nyeri kepala saat sujud sholat;kurang lebih 3 hari;terasa berat;minum simvastatin;kesemutan di tangan kaki terutama bangun tidur</t>
  </si>
  <si>
    <t>G0,XG61,G71,G52,G43,T,O</t>
  </si>
  <si>
    <t>sakit kepala (+)</t>
  </si>
  <si>
    <t>sakit kepala</t>
  </si>
  <si>
    <t>258</t>
  </si>
  <si>
    <t>mual muntah (-)</t>
  </si>
  <si>
    <t>mual muntah nihil</t>
  </si>
  <si>
    <t>259</t>
  </si>
  <si>
    <t>nyeri kepala saat sujud sholat (+)</t>
  </si>
  <si>
    <t>nyeri kepala saat sujud sholat</t>
  </si>
  <si>
    <t>G71</t>
  </si>
  <si>
    <t>260</t>
  </si>
  <si>
    <t>+-3hari</t>
  </si>
  <si>
    <t>kurang lebih 3 hari</t>
  </si>
  <si>
    <t>261</t>
  </si>
  <si>
    <t>terasa berat (+)</t>
  </si>
  <si>
    <t>terasa berat</t>
  </si>
  <si>
    <t>262</t>
  </si>
  <si>
    <t>minum simvastatin</t>
  </si>
  <si>
    <t>263</t>
  </si>
  <si>
    <t>kesemutan di tangan kaki terutama bangun tidur (+)</t>
  </si>
  <si>
    <t>kesemutan di tangan kaki terutama bangun tidur</t>
  </si>
  <si>
    <t>269</t>
  </si>
  <si>
    <t>kepala kadang sakit (+);kepala terasa berat (+);dan susah tidur (+);keluhan hilang timbul sejak 2 minggu ini;semalam minum mertigo</t>
  </si>
  <si>
    <t>kepala kadang sakit;kepala terasa berat;dan susah tidur;keluhan hilang timbul sejak 2 minggu ini;semalam minum mertigo</t>
  </si>
  <si>
    <t>G34,G13,G68,G31,T</t>
  </si>
  <si>
    <t>kepala kadang sakit (+)</t>
  </si>
  <si>
    <t>kepala kadang sakit</t>
  </si>
  <si>
    <t>270</t>
  </si>
  <si>
    <t>kepala terasa berat (+)</t>
  </si>
  <si>
    <t>271</t>
  </si>
  <si>
    <t>dan susah tidur (+)</t>
  </si>
  <si>
    <t>dan susah tidur</t>
  </si>
  <si>
    <t>272</t>
  </si>
  <si>
    <t>keluhan hilang timbul sejak 2 minggu ini</t>
  </si>
  <si>
    <t>273</t>
  </si>
  <si>
    <t>semalam minum mertigo</t>
  </si>
  <si>
    <t>281</t>
  </si>
  <si>
    <t>pusing, (+);sakit kepala (+);menjalar sampai telinga (+);bahu -&gt; lengan terasa kaku (+);dari Sp.Jp diminta konsul Sp.S</t>
  </si>
  <si>
    <t>pusing;sakit kepala;menjalar sampai telinga;bahu ke lengan terasa kaku;dari Sp.Jp diminta konsul Sp.S</t>
  </si>
  <si>
    <t>G0,G0,G22,G614,T</t>
  </si>
  <si>
    <t>pusing, (+)</t>
  </si>
  <si>
    <t>282</t>
  </si>
  <si>
    <t>283</t>
  </si>
  <si>
    <t>menjalar sampai telinga (+)</t>
  </si>
  <si>
    <t>menjalar sampai telinga</t>
  </si>
  <si>
    <t>G22</t>
  </si>
  <si>
    <t>284</t>
  </si>
  <si>
    <t>bahu -&gt; lengan terasa kaku (+)</t>
  </si>
  <si>
    <t>bahu ke lengan terasa kaku</t>
  </si>
  <si>
    <t>285</t>
  </si>
  <si>
    <t>dari Sp.Jp diminta konsul Sp.S</t>
  </si>
  <si>
    <t>291</t>
  </si>
  <si>
    <t>Nyeri kepala;disertai tegang di pundak;Mual (+);Kembung;Nyeri lambung (+);Diare (-);Alergi Obat (-)</t>
  </si>
  <si>
    <t>Nyeri kepala;disertai tegang di pundak;Mual;Kembung;Nyeri lambung;Diare nihil;Alergi Obat nihil</t>
  </si>
  <si>
    <t>G0,G614,G61,O,O,O,T</t>
  </si>
  <si>
    <t>292</t>
  </si>
  <si>
    <t>disertai tegang di pundak</t>
  </si>
  <si>
    <t>293</t>
  </si>
  <si>
    <t>294</t>
  </si>
  <si>
    <t>Kembung</t>
  </si>
  <si>
    <t>295</t>
  </si>
  <si>
    <t>Nyeri lambung</t>
  </si>
  <si>
    <t>296</t>
  </si>
  <si>
    <t>297</t>
  </si>
  <si>
    <t>Alergi Obat (-)</t>
  </si>
  <si>
    <t>Alergi Obat nihil</t>
  </si>
  <si>
    <t>298</t>
  </si>
  <si>
    <t>nyeri kepala seprti terkat;dibagian belakang kepala;sejak 2 HSMRS;badan kadang terasa lemas;RPD : Epilepsi pengobatan 4 tahun saat usia 7 tahun</t>
  </si>
  <si>
    <t>nyeri kepala seperti terikat;dibagian belakang kepala;sejak 2 HSMRS;badan kadang terasa lemas;RPD Epilepsi pengobatan 4 tahun saat usia 7 tahun</t>
  </si>
  <si>
    <t>G15,G21,G51,O,O</t>
  </si>
  <si>
    <t>nyeri kepala seprti terkat</t>
  </si>
  <si>
    <t>299</t>
  </si>
  <si>
    <t>dibagian belakang kepala</t>
  </si>
  <si>
    <t>300</t>
  </si>
  <si>
    <t>sejak 2 HSMRS</t>
  </si>
  <si>
    <t>301</t>
  </si>
  <si>
    <t>badan kadang terasa lemas</t>
  </si>
  <si>
    <t>302</t>
  </si>
  <si>
    <t>RPD : Epilepsi pengobatan 4 tahun saat usia 7 tahun</t>
  </si>
  <si>
    <t>RPD Epilepsi pengobatan 4 tahun saat usia 7 tahun</t>
  </si>
  <si>
    <t>303</t>
  </si>
  <si>
    <t>Badan terasa gatal2 (+);Kemerahan (-);+-1minggu Kepala terasa pusing (+);Gliyer (+);Mual Muntah (-)</t>
  </si>
  <si>
    <t>Badan terasa gatal gatal;Kemerahan nihil;kurang lebih 1 minggu Kepala terasa pusing;Gliyer;Mual Muntah nihil</t>
  </si>
  <si>
    <t>O,O,G51,O,XG61</t>
  </si>
  <si>
    <t>Badan terasa gatal2 (+)</t>
  </si>
  <si>
    <t>Badan terasa gatal gatal</t>
  </si>
  <si>
    <t>304</t>
  </si>
  <si>
    <t>Kemerahan (-)</t>
  </si>
  <si>
    <t>Kemerahan nihil</t>
  </si>
  <si>
    <t>305</t>
  </si>
  <si>
    <t>+-1minggu Kepala terasa pusing (+)</t>
  </si>
  <si>
    <t>kurang lebih 1 minggu Kepala terasa pusing</t>
  </si>
  <si>
    <t>306</t>
  </si>
  <si>
    <t>Gliyer (+)</t>
  </si>
  <si>
    <t>Gliyer</t>
  </si>
  <si>
    <t>307</t>
  </si>
  <si>
    <t>326</t>
  </si>
  <si>
    <t>Kliyengan (+);Pusing (+);Mual (-);Muntah (-);Demam (-);Pusing berputar (-);+-4hari;Alergi obat (-);gerakan kepala terasa berat</t>
  </si>
  <si>
    <t>Kliyengan;Pusing;Mual nihil;Muntah nihil;Demam nihil;Pusing berputar nihil;kurang lebih 4 hari;Alergi obat nihil;gerakan kepala terasa berat</t>
  </si>
  <si>
    <t>G0,G0,XG61,XG62,O,O,G51,T,G13</t>
  </si>
  <si>
    <t>Kliyengan (+)</t>
  </si>
  <si>
    <t>Kliyengan</t>
  </si>
  <si>
    <t>327</t>
  </si>
  <si>
    <t>Pusing (+)</t>
  </si>
  <si>
    <t>328</t>
  </si>
  <si>
    <t>329</t>
  </si>
  <si>
    <t>330</t>
  </si>
  <si>
    <t>331</t>
  </si>
  <si>
    <t>Pusing berputar (-)</t>
  </si>
  <si>
    <t>Pusing berputar nihil</t>
  </si>
  <si>
    <t>332</t>
  </si>
  <si>
    <t>+-4hari</t>
  </si>
  <si>
    <t>kurang lebih 4 hari</t>
  </si>
  <si>
    <t>333</t>
  </si>
  <si>
    <t>334</t>
  </si>
  <si>
    <t>gerakan kepala terasa berat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</si>
</sst>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2" fillId="0" borderId="0" xfId="1" applyFont="1" applyAlignment="1">
      <alignment vertical="center"/>
    </xf>
    <xf numFmtId="0" fontId="4" fillId="0" borderId="0" xfId="1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1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/>
    </xf>
    <xf numFmtId="49" fontId="2" fillId="0" borderId="0" xfId="1" applyNumberFormat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1" quotePrefix="1" applyFont="1" applyBorder="1" applyAlignment="1">
      <alignment vertical="center" wrapText="1"/>
    </xf>
  </cellXfs>
  <cellStyles count="2">
    <cellStyle name="Normal" xfId="0" builtinId="0"/>
    <cellStyle name="Normal 2" xfId="1" xr:uid="{5BFADD42-6171-4F7C-A932-2378194F06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09C39-71F1-4713-9EA2-74A4315D38B9}">
  <dimension ref="A2:AA42"/>
  <sheetViews>
    <sheetView topLeftCell="F1" zoomScaleNormal="100" workbookViewId="0">
      <selection activeCell="F6" sqref="F6"/>
    </sheetView>
  </sheetViews>
  <sheetFormatPr defaultRowHeight="12.75" x14ac:dyDescent="0.25"/>
  <cols>
    <col min="1" max="1" width="9.140625" style="16"/>
    <col min="2" max="2" width="9.5703125" style="1" customWidth="1"/>
    <col min="3" max="3" width="10" style="1" customWidth="1"/>
    <col min="4" max="4" width="5.5703125" style="17" bestFit="1" customWidth="1"/>
    <col min="5" max="5" width="49.5703125" style="17" customWidth="1"/>
    <col min="6" max="6" width="58.140625" style="17" customWidth="1"/>
    <col min="7" max="7" width="36.42578125" style="17" customWidth="1"/>
    <col min="8" max="16384" width="9.140625" style="17"/>
  </cols>
  <sheetData>
    <row r="2" spans="1:27" ht="25.5" x14ac:dyDescent="0.25">
      <c r="A2" s="18" t="s">
        <v>1</v>
      </c>
      <c r="B2" s="6" t="s">
        <v>5</v>
      </c>
      <c r="C2" s="6" t="s">
        <v>6</v>
      </c>
      <c r="D2" s="7" t="s">
        <v>4</v>
      </c>
      <c r="E2" s="7" t="s">
        <v>7</v>
      </c>
      <c r="F2" s="7" t="s">
        <v>8</v>
      </c>
      <c r="G2" s="7" t="s">
        <v>41</v>
      </c>
    </row>
    <row r="3" spans="1:27" s="12" customFormat="1" ht="63.75" x14ac:dyDescent="0.2">
      <c r="A3" s="18">
        <v>1</v>
      </c>
      <c r="B3" s="19" t="s">
        <v>83</v>
      </c>
      <c r="C3" s="20" t="s">
        <v>53</v>
      </c>
      <c r="D3" s="9" t="s">
        <v>13</v>
      </c>
      <c r="E3" s="10" t="str">
        <f ca="1">IFERROR(__xludf.DUMMYFUNCTION("VLOOKUP($B30,FILTER('Kode Gejala + G44.0'!$B$2:$K$172, 'Kode Gejala + G44.0'!$K$2:$K$172&lt;&gt;""""),10,FALSE)"),"sering pusing (+);sering tidak fokus(+);tiba2 sering negblank;sering oleng;pasien dengan riwayat chepalgia kronik progresif;Cum fotal seizire cum DN VI Det VIII D cum lesi umn D;pasien ingin konsul poli Saraf RS.Hermina")</f>
        <v>sering pusing (+);sering tidak fokus(+);tiba2 sering negblank;sering oleng;pasien dengan riwayat chepalgia kronik progresif;Cum fotal seizire cum DN VI Det VIII D cum lesi umn D;pasien ingin konsul poli Saraf RS.Hermina</v>
      </c>
      <c r="F3" s="10" t="str">
        <f ca="1">IFERROR(__xludf.DUMMYFUNCTION("VLOOKUP($B30,FILTER('Kode Gejala + G44.0'!$B$2:$L$172, 'Kode Gejala + G44.0'!$L$2:$L$172&lt;&gt;""""),11,FALSE)"),"sering pusing;sering tidak fokus;tiba tiba sering ngeblank;sering oleng;pasien dengan riwayat chepalgia kronik progresif;Cum fotal seizire cum DN VI Det VIII D cum lesi umn D;pasien ingin konsul poli Saraf RS.Hermina")</f>
        <v>sering pusing;sering tidak fokus;tiba tiba sering ngeblank;sering oleng;pasien dengan riwayat chepalgia kronik progresif;Cum fotal seizire cum DN VI Det VIII D cum lesi umn D;pasien ingin konsul poli Saraf RS.Hermina</v>
      </c>
      <c r="G3" s="10" t="str">
        <f ca="1">IFERROR(__xludf.DUMMYFUNCTION("VLOOKUP($B30,FILTER('Kode Gejala + G44.0'!$B$2:$M$172, 'Kode Gejala + G44.0'!$M$2:$M$172&lt;&gt;""""),12,FALSE)"),"G31,O,O,O,G32,O,T")</f>
        <v>G31,O,O,O,G32,O,T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25.5" x14ac:dyDescent="0.25">
      <c r="A4" s="18">
        <v>2</v>
      </c>
      <c r="B4" s="19" t="s">
        <v>123</v>
      </c>
      <c r="C4" s="20" t="s">
        <v>109</v>
      </c>
      <c r="D4" s="8" t="s">
        <v>13</v>
      </c>
      <c r="E4" s="10" t="str">
        <f ca="1">IFERROR(__xludf.DUMMYFUNCTION("VLOOKUP($B12,FILTER('Kode Gejala + G44.0'!$B$2:$K$172, 'Kode Gejala + G44.0'!$K$2:$K$172&lt;&gt;""""),10,FALSE)"),"demam 3 hr;pusing(+);bab lembek(+);perut mual(-);muntah(-);alergi obat(-)")</f>
        <v>demam 3 hr;pusing(+);bab lembek(+);perut mual(-);muntah(-);alergi obat(-)</v>
      </c>
      <c r="F4" s="10" t="str">
        <f ca="1">IFERROR(__xludf.DUMMYFUNCTION("VLOOKUP($B12,FILTER('Kode Gejala + G44.0'!$B$2:$L$172, 'Kode Gejala + G44.0'!$L$2:$L$172&lt;&gt;""""),11,FALSE)"),"demam 3 hari;pusing;bab lembek;perut mual nihil;muntah nihil;alergi obat nihil")</f>
        <v>demam 3 hari;pusing;bab lembek;perut mual nihil;muntah nihil;alergi obat nihil</v>
      </c>
      <c r="G4" s="10" t="str">
        <f ca="1">IFERROR(__xludf.DUMMYFUNCTION("VLOOKUP($B12,FILTER('Kode Gejala + G44.0'!$B$2:$M$172, 'Kode Gejala + G44.0'!$M$2:$M$172&lt;&gt;""""),12,FALSE)"),"O,G0,O,XG61,XG62,T")</f>
        <v>O,G0,O,XG61,XG62,T</v>
      </c>
    </row>
    <row r="5" spans="1:27" s="12" customFormat="1" ht="38.25" x14ac:dyDescent="0.2">
      <c r="A5" s="18">
        <v>3</v>
      </c>
      <c r="B5" s="19" t="s">
        <v>89</v>
      </c>
      <c r="C5" s="20" t="s">
        <v>60</v>
      </c>
      <c r="D5" s="8" t="s">
        <v>13</v>
      </c>
      <c r="E5" s="10" t="str">
        <f ca="1">IFERROR(__xludf.DUMMYFUNCTION("VLOOKUP($B29,FILTER('Kode Gejala + G44.0'!$B$2:$K$172, 'Kode Gejala + G44.0'!$K$2:$K$172&lt;&gt;""""),10,FALSE)"),"konsultasi rujukan Poli Saraf RSHermina pasien dengan RPD LBP konsultasi PRB pasien dengan RPd asthma nyeri kepala (+)")</f>
        <v>konsultasi rujukan Poli Saraf RSHermina pasien dengan RPD LBP konsultasi PRB pasien dengan RPd asthma nyeri kepala (+)</v>
      </c>
      <c r="F5" s="10" t="str">
        <f ca="1">IFERROR(__xludf.DUMMYFUNCTION("VLOOKUP($B29,FILTER('Kode Gejala + G44.0'!$B$2:$L$172, 'Kode Gejala + G44.0'!$L$2:$L$172&lt;&gt;""""),11,FALSE)"),"konsultasi rujukan Poli Saraf RS Hermina pasien dengan RPD LBP konsultasi PRB pasien dengan RPd asthma nyeri kepala")</f>
        <v>konsultasi rujukan Poli Saraf RS Hermina pasien dengan RPD LBP konsultasi PRB pasien dengan RPd asthma nyeri kepala</v>
      </c>
      <c r="G5" s="10" t="str">
        <f ca="1">IFERROR(__xludf.DUMMYFUNCTION("VLOOKUP($B29,FILTER('Kode Gejala + G44.0'!$B$2:$M$172, 'Kode Gejala + G44.0'!$M$2:$M$172&lt;&gt;""""),12,FALSE)"),"G0")</f>
        <v>G0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s="12" customFormat="1" ht="63.75" x14ac:dyDescent="0.2">
      <c r="A6" s="18">
        <v>4</v>
      </c>
      <c r="B6" s="19" t="s">
        <v>93</v>
      </c>
      <c r="C6" s="20" t="s">
        <v>74</v>
      </c>
      <c r="D6" s="9" t="s">
        <v>13</v>
      </c>
      <c r="E6" s="10" t="str">
        <f ca="1">IFERROR(__xludf.DUMMYFUNCTION("VLOOKUP($B27,FILTER('Kode Gejala + G44.0'!$B$2:$K$172, 'Kode Gejala + G44.0'!$K$2:$K$172&lt;&gt;""""),10,FALSE)"),"Sakit kepala kiri (+);Nyeri badan sebelah kiri Tangan dan badan kiri gerak;timbul nyeri di kepala kiri;pandangan mata kiri kabur (+);riwayat periksa GDS di aceh 250;semalam minum ibuprofen, amlodipin, omeprazole;tengkuk terasa tidak nyaman (+)")</f>
        <v>Sakit kepala kiri (+);Nyeri badan sebelah kiri Tangan dan badan kiri gerak;timbul nyeri di kepala kiri;pandangan mata kiri kabur (+);riwayat periksa GDS di aceh 250;semalam minum ibuprofen, amlodipin, omeprazole;tengkuk terasa tidak nyaman (+)</v>
      </c>
      <c r="F6" s="10" t="str">
        <f ca="1">IFERROR(__xludf.DUMMYFUNCTION("VLOOKUP($B27,FILTER('Kode Gejala + G44.0'!$B$2:$L$172, 'Kode Gejala + G44.0'!$L$2:$L$172&lt;&gt;""""),11,FALSE)"),"sakit kepala kiri;nyeri badan sebelah kiri tangan dan badan kiri gerak;timbul nyeri di kepala kiri;pandangan mata kiri kabur;riwayat periksa GDS di aceh 250;semalam minum ibuprofen, amlodipin, omeprazole;tengkuk terasa tidak nyaman")</f>
        <v>sakit kepala kiri;nyeri badan sebelah kiri tangan dan badan kiri gerak;timbul nyeri di kepala kiri;pandangan mata kiri kabur;riwayat periksa GDS di aceh 250;semalam minum ibuprofen, amlodipin, omeprazole;tengkuk terasa tidak nyaman</v>
      </c>
      <c r="G6" s="10" t="str">
        <f ca="1">IFERROR(__xludf.DUMMYFUNCTION("VLOOKUP($B27,FILTER('Kode Gejala + G44.0'!$B$2:$M$172, 'Kode Gejala + G44.0'!$M$2:$M$172&lt;&gt;""""),12,FALSE)"),"G23,O,G23,O,T,T,G614")</f>
        <v>G23,O,G23,O,T,T,G614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s="12" customFormat="1" ht="25.5" x14ac:dyDescent="0.2">
      <c r="A7" s="18">
        <v>5</v>
      </c>
      <c r="B7" s="19" t="s">
        <v>98</v>
      </c>
      <c r="C7" s="20" t="s">
        <v>89</v>
      </c>
      <c r="D7" s="8" t="s">
        <v>13</v>
      </c>
      <c r="E7" s="10" t="str">
        <f ca="1">IFERROR(__xludf.DUMMYFUNCTION("VLOOKUP($B23,FILTER('Kode Gejala + G44.0'!$B$2:$K$172, 'Kode Gejala + G44.0'!$K$2:$K$172&lt;&gt;""""),10,FALSE)"),"kepala masih sering;terasa pusing + berputar +;mual -;muntah -;sdh 3 bln tdk kontrol k poli saraf")</f>
        <v>kepala masih sering;terasa pusing + berputar +;mual -;muntah -;sdh 3 bln tdk kontrol k poli saraf</v>
      </c>
      <c r="F7" s="10" t="str">
        <f ca="1">IFERROR(__xludf.DUMMYFUNCTION("VLOOKUP($B23,FILTER('Kode Gejala + G44.0'!$B$2:$L$172, 'Kode Gejala + G44.0'!$L$2:$L$172&lt;&gt;""""),11,FALSE)"),"kepala masih sering;terasa pusing berputar;mual nihil;muntah nihil;sudah 3 bulan tidak kontrol ke poli saraf")</f>
        <v>kepala masih sering;terasa pusing berputar;mual nihil;muntah nihil;sudah 3 bulan tidak kontrol ke poli saraf</v>
      </c>
      <c r="G7" s="10" t="str">
        <f ca="1">IFERROR(__xludf.DUMMYFUNCTION("VLOOKUP($B23,FILTER('Kode Gejala + G44.0'!$B$2:$M$172, 'Kode Gejala + G44.0'!$M$2:$M$172&lt;&gt;""""),12,FALSE)"),"G34,O,XG61,XG62,T")</f>
        <v>G34,O,XG61,XG62,T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s="12" customFormat="1" ht="25.5" x14ac:dyDescent="0.2">
      <c r="A8" s="18">
        <v>6</v>
      </c>
      <c r="B8" s="19" t="s">
        <v>101</v>
      </c>
      <c r="C8" s="20" t="s">
        <v>93</v>
      </c>
      <c r="D8" s="8" t="s">
        <v>13</v>
      </c>
      <c r="E8" s="10" t="str">
        <f ca="1">IFERROR(__xludf.DUMMYFUNCTION("VLOOKUP($B21,FILTER('Kode Gejala + G44.0'!$B$2:$K$172, 'Kode Gejala + G44.0'!$K$2:$K$172&lt;&gt;""""),10,FALSE)"),"demam sejak semlm (+);nyeri kepala (+);mual (-);alergi obat (-)")</f>
        <v>demam sejak semlm (+);nyeri kepala (+);mual (-);alergi obat (-)</v>
      </c>
      <c r="F8" s="10" t="str">
        <f ca="1">IFERROR(__xludf.DUMMYFUNCTION("VLOOKUP($B21,FILTER('Kode Gejala + G44.0'!$B$2:$L$172, 'Kode Gejala + G44.0'!$L$2:$L$172&lt;&gt;""""),11,FALSE)"),"demam sejak semalam;nyeri kepala;mual nihil;alergi obat nihil")</f>
        <v>demam sejak semalam;nyeri kepala;mual nihil;alergi obat nihil</v>
      </c>
      <c r="G8" s="10" t="str">
        <f ca="1">IFERROR(__xludf.DUMMYFUNCTION("VLOOKUP($B21,FILTER('Kode Gejala + G44.0'!$B$2:$M$172, 'Kode Gejala + G44.0'!$M$2:$M$172&lt;&gt;""""),12,FALSE)"),"O,G0,XG61,T")</f>
        <v>O,G0,XG61,T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25.5" x14ac:dyDescent="0.25">
      <c r="A9" s="18">
        <v>7</v>
      </c>
      <c r="B9" s="23" t="s">
        <v>118</v>
      </c>
      <c r="C9" s="24" t="s">
        <v>103</v>
      </c>
      <c r="D9" s="13" t="s">
        <v>13</v>
      </c>
      <c r="E9" s="14" t="str">
        <f ca="1">IFERROR(__xludf.DUMMYFUNCTION("VLOOKUP($B14,FILTER('Kode Gejala + G44.0'!$B$2:$K$172, 'Kode Gejala + G44.0'!$K$2:$K$172&lt;&gt;""""),10,FALSE)"),"kemaren;hr ini febris ( td mlm );pusing (+);mual(-);batuk (-);pilek (-);nyeri telan (-);nyeri perut (+);mules (+);diare (-)")</f>
        <v>kemaren;hr ini febris ( td mlm );pusing (+);mual(-);batuk (-);pilek (-);nyeri telan (-);nyeri perut (+);mules (+);diare (-)</v>
      </c>
      <c r="F9" s="14" t="str">
        <f ca="1">IFERROR(__xludf.DUMMYFUNCTION("VLOOKUP($B14,FILTER('Kode Gejala + G44.0'!$B$2:$L$172, 'Kode Gejala + G44.0'!$L$2:$L$172&lt;&gt;""""),11,FALSE)"),"kemarin;hari ini febris tadi malam;pusing;mual nihil;batuk nihil;pilek nihil;nyeri telan nihil;nyeri perut;mules;diare nihil")</f>
        <v>kemarin;hari ini febris tadi malam;pusing;mual nihil;batuk nihil;pilek nihil;nyeri telan nihil;nyeri perut;mules;diare nihil</v>
      </c>
      <c r="G9" s="14" t="str">
        <f ca="1">IFERROR(__xludf.DUMMYFUNCTION("VLOOKUP($B14,FILTER('Kode Gejala + G44.0'!$B$2:$M$172, 'Kode Gejala + G44.0'!$M$2:$M$172&lt;&gt;""""),12,FALSE)"),"G52,O,G0,XG61,O,XG612,O,O,O,O")</f>
        <v>G52,O,G0,XG61,O,XG612,O,O,O,O</v>
      </c>
    </row>
    <row r="10" spans="1:27" x14ac:dyDescent="0.25">
      <c r="A10" s="18">
        <v>8</v>
      </c>
      <c r="B10" s="19" t="s">
        <v>128</v>
      </c>
      <c r="C10" s="20" t="s">
        <v>115</v>
      </c>
      <c r="D10" s="9" t="s">
        <v>13</v>
      </c>
      <c r="E10" s="10" t="str">
        <f ca="1">IFERROR(__xludf.DUMMYFUNCTION("VLOOKUP($B9,FILTER('Kode Gejala + G44.0'!$B$2:$K$172, 'Kode Gejala + G44.0'!$K$2:$K$172&lt;&gt;""""),10,FALSE)"),"pusing bagian depan kepala;demam 1minggu;mual;batuk")</f>
        <v>pusing bagian depan kepala;demam 1minggu;mual;batuk</v>
      </c>
      <c r="F10" s="10" t="str">
        <f ca="1">IFERROR(__xludf.DUMMYFUNCTION("VLOOKUP($B9,FILTER('Kode Gejala + G44.0'!$B$2:$L$172, 'Kode Gejala + G44.0'!$L$2:$L$172&lt;&gt;""""),11,FALSE)"),"pusing bagian depan kepala;demam 1 minggu;mual;batuk")</f>
        <v>pusing bagian depan kepala;demam 1 minggu;mual;batuk</v>
      </c>
      <c r="G10" s="10" t="str">
        <f ca="1">IFERROR(__xludf.DUMMYFUNCTION("VLOOKUP($B9,FILTER('Kode Gejala + G44.0'!$B$2:$M$172, 'Kode Gejala + G44.0'!$M$2:$M$172&lt;&gt;""""),12,FALSE)"),"G21,O,G61,O")</f>
        <v>G21,O,G61,O</v>
      </c>
    </row>
    <row r="11" spans="1:27" x14ac:dyDescent="0.25">
      <c r="A11" s="18">
        <v>9</v>
      </c>
      <c r="B11" s="19" t="s">
        <v>135</v>
      </c>
      <c r="C11" s="20" t="s">
        <v>147</v>
      </c>
      <c r="D11" s="8" t="s">
        <v>13</v>
      </c>
      <c r="E11" s="10" t="str">
        <f ca="1">IFERROR(__xludf.DUMMYFUNCTION("VLOOKUP($B4,FILTER('Kode Gejala + G44.0'!$B$2:$K$172, 'Kode Gejala + G44.0'!$K$2:$K$172&lt;&gt;""""),10,FALSE)"),"pusing;mual;riwayat iritasi otak")</f>
        <v>pusing;mual;riwayat iritasi otak</v>
      </c>
      <c r="F11" s="10" t="str">
        <f ca="1">IFERROR(__xludf.DUMMYFUNCTION("VLOOKUP($B4,FILTER('Kode Gejala + G44.0'!$B$2:$L$172, 'Kode Gejala + G44.0'!$L$2:$L$172&lt;&gt;""""),11,FALSE)"),"pusing;mual;riwayat iritasi otak")</f>
        <v>pusing;mual;riwayat iritasi otak</v>
      </c>
      <c r="G11" s="10" t="str">
        <f ca="1">IFERROR(__xludf.DUMMYFUNCTION("VLOOKUP($B4,FILTER('Kode Gejala + G44.0'!$B$2:$M$172, 'Kode Gejala + G44.0'!$M$2:$M$172&lt;&gt;""""),12,FALSE)"),"G0,G61,O")</f>
        <v>G0,G61,O</v>
      </c>
    </row>
    <row r="12" spans="1:27" s="12" customFormat="1" x14ac:dyDescent="0.2">
      <c r="A12" s="18">
        <v>10</v>
      </c>
      <c r="B12" s="19" t="s">
        <v>115</v>
      </c>
      <c r="C12" s="20" t="s">
        <v>101</v>
      </c>
      <c r="D12" s="8" t="s">
        <v>13</v>
      </c>
      <c r="E12" s="10" t="str">
        <f ca="1">IFERROR(__xludf.DUMMYFUNCTION("VLOOKUP($B15,FILTER('Kode Gejala + G44.0'!$B$2:$K$172, 'Kode Gejala + G44.0'!$K$2:$K$172&lt;&gt;""""),10,FALSE)"),"nyeri kepala;mual(-);alergi obat(-)")</f>
        <v>nyeri kepala;mual(-);alergi obat(-)</v>
      </c>
      <c r="F12" s="10" t="str">
        <f ca="1">IFERROR(__xludf.DUMMYFUNCTION("VLOOKUP($B15,FILTER('Kode Gejala + G44.0'!$B$2:$L$172, 'Kode Gejala + G44.0'!$L$2:$L$172&lt;&gt;""""),11,FALSE)"),"nyeri kepala;mual nihil;alergi obat nihil")</f>
        <v>nyeri kepala;mual nihil;alergi obat nihil</v>
      </c>
      <c r="G12" s="10" t="str">
        <f ca="1">IFERROR(__xludf.DUMMYFUNCTION("VLOOKUP($B15,FILTER('Kode Gejala + G44.0'!$B$2:$M$172, 'Kode Gejala + G44.0'!$M$2:$M$172&lt;&gt;""""),12,FALSE)"),"G0,XG61,T")</f>
        <v>G0,XG61,T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25.5" x14ac:dyDescent="0.25">
      <c r="A13" s="18">
        <v>11</v>
      </c>
      <c r="B13" s="19" t="s">
        <v>137</v>
      </c>
      <c r="C13" s="20" t="s">
        <v>136</v>
      </c>
      <c r="D13" s="8" t="s">
        <v>13</v>
      </c>
      <c r="E13" s="10" t="str">
        <f ca="1">IFERROR(__xludf.DUMMYFUNCTION("VLOOKUP($B2,FILTER('Kode Gejala + G44.0'!$B$2:$K$172, 'Kode Gejala + G44.0'!$K$2:$K$172&lt;&gt;""""),10,FALSE)"),"maagh nyeri perut;mual;nyeri kepala;resep antasida;headache 4xsebulan;riwayat jatuh")</f>
        <v>maagh nyeri perut;mual;nyeri kepala;resep antasida;headache 4xsebulan;riwayat jatuh</v>
      </c>
      <c r="F13" s="10" t="str">
        <f ca="1">IFERROR(__xludf.DUMMYFUNCTION("VLOOKUP($B2,FILTER('Kode Gejala + G44.0'!$B$2:$L$172, 'Kode Gejala + G44.0'!$L$2:$L$172&lt;&gt;""""),11,FALSE)"),"maagh nyeri perut;mual;nyeri kepala;resep antasida;headache 4 kali sebulan;riwayat jatuh")</f>
        <v>maagh nyeri perut;mual;nyeri kepala;resep antasida;headache 4 kali sebulan;riwayat jatuh</v>
      </c>
      <c r="G13" s="10" t="str">
        <f ca="1">IFERROR(__xludf.DUMMYFUNCTION("VLOOKUP($B2,FILTER('Kode Gejala + G44.0'!$B$2:$M$172, 'Kode Gejala + G44.0'!$M$2:$M$172&lt;&gt;""""),12,FALSE)"),"O,G61,G0,T,G31,O")</f>
        <v>O,G61,G0,T,G31,O</v>
      </c>
    </row>
    <row r="14" spans="1:27" ht="38.25" x14ac:dyDescent="0.25">
      <c r="A14" s="18">
        <v>12</v>
      </c>
      <c r="B14" s="19" t="s">
        <v>95</v>
      </c>
      <c r="C14" s="20" t="s">
        <v>81</v>
      </c>
      <c r="D14" s="9" t="s">
        <v>13</v>
      </c>
      <c r="E14" s="10" t="str">
        <f ca="1">IFERROR(__xludf.DUMMYFUNCTION("VLOOKUP($B25,FILTER('Kode Gejala + G44.0'!$B$2:$K$172, 'Kode Gejala + G44.0'!$K$2:$K$172&lt;&gt;""""),10,FALSE)"),"pusing (+);sering ngantuk (+);lemes (-);kontrol ulang riwayat hypoglikemia;riwayat nyeri kepala hilang timbul;stressor (-);pekerjaan HP/laptop")</f>
        <v>pusing (+);sering ngantuk (+);lemes (-);kontrol ulang riwayat hypoglikemia;riwayat nyeri kepala hilang timbul;stressor (-);pekerjaan HP/laptop</v>
      </c>
      <c r="F14" s="10" t="str">
        <f ca="1">IFERROR(__xludf.DUMMYFUNCTION("VLOOKUP($B25,FILTER('Kode Gejala + G44.0'!$B$2:$L$172, 'Kode Gejala + G44.0'!$L$2:$L$172&lt;&gt;""""),11,FALSE)"),"pusing;sering ngantuk;lemes nihil;kontrol ulang riwayat hypoglikemia;riwayat nyeri kepala hilang timbul;stressor nihil;pekerjaan HP atau laptop")</f>
        <v>pusing;sering ngantuk;lemes nihil;kontrol ulang riwayat hypoglikemia;riwayat nyeri kepala hilang timbul;stressor nihil;pekerjaan HP atau laptop</v>
      </c>
      <c r="G14" s="10" t="str">
        <f ca="1">IFERROR(__xludf.DUMMYFUNCTION("VLOOKUP($B25,FILTER('Kode Gejala + G44.0'!$B$2:$M$172, 'Kode Gejala + G44.0'!$M$2:$M$172&lt;&gt;""""),12,FALSE)"),"G0,O,O,O,G31,XG66,G64")</f>
        <v>G0,O,O,O,G31,XG66,G64</v>
      </c>
    </row>
    <row r="15" spans="1:27" ht="25.5" x14ac:dyDescent="0.25">
      <c r="A15" s="18">
        <v>13</v>
      </c>
      <c r="B15" s="19" t="s">
        <v>133</v>
      </c>
      <c r="C15" s="20" t="s">
        <v>131</v>
      </c>
      <c r="D15" s="9" t="s">
        <v>13</v>
      </c>
      <c r="E15" s="10" t="str">
        <f ca="1">IFERROR(__xludf.DUMMYFUNCTION("VLOOKUP($B5,FILTER('Kode Gejala + G44.0'!$B$2:$K$172, 'Kode Gejala + G44.0'!$K$2:$K$172&lt;&gt;""""),10,FALSE)"),"migraine 2hari lalu;minum obat sembuh kambuh lagi;dari leher;-&gt; kepala nyeri;badan terasa nyeri")</f>
        <v>migraine 2hari lalu;minum obat sembuh kambuh lagi;dari leher;-&gt; kepala nyeri;badan terasa nyeri</v>
      </c>
      <c r="F15" s="10" t="str">
        <f ca="1">IFERROR(__xludf.DUMMYFUNCTION("VLOOKUP($B5,FILTER('Kode Gejala + G44.0'!$B$2:$L$172, 'Kode Gejala + G44.0'!$L$2:$L$172&lt;&gt;""""),11,FALSE)"),"migrain 2 hari lalu;minum obat sembuh kambuh lagi;dari leher;ke kepala nyeri;badan terasa nyeri")</f>
        <v>migrain 2 hari lalu;minum obat sembuh kambuh lagi;dari leher;ke kepala nyeri;badan terasa nyeri</v>
      </c>
      <c r="G15" s="10" t="str">
        <f ca="1">IFERROR(__xludf.DUMMYFUNCTION("VLOOKUP($B5,FILTER('Kode Gejala + G44.0'!$B$2:$M$172, 'Kode Gejala + G44.0'!$M$2:$M$172&lt;&gt;""""),12,FALSE)"),"G23,G34,G81,G0,O")</f>
        <v>G23,G34,G81,G0,O</v>
      </c>
    </row>
    <row r="16" spans="1:27" ht="25.5" x14ac:dyDescent="0.25">
      <c r="A16" s="18">
        <v>14</v>
      </c>
      <c r="B16" s="19" t="s">
        <v>103</v>
      </c>
      <c r="C16" s="20" t="s">
        <v>94</v>
      </c>
      <c r="D16" s="9" t="s">
        <v>13</v>
      </c>
      <c r="E16" s="10" t="str">
        <f ca="1">IFERROR(__xludf.DUMMYFUNCTION("VLOOKUP($B20,FILTER('Kode Gejala + G44.0'!$B$2:$K$172, 'Kode Gejala + G44.0'!$K$2:$K$172&lt;&gt;""""),10,FALSE)"),"mata kiri teras anyeri (=);kemerahan (-);penglihatan n;3 hr;pusing;muka perih (-);gatal (-);alergi obat (-)")</f>
        <v>mata kiri teras anyeri (=);kemerahan (-);penglihatan n;3 hr;pusing;muka perih (-);gatal (-);alergi obat (-)</v>
      </c>
      <c r="F16" s="10" t="str">
        <f ca="1">IFERROR(__xludf.DUMMYFUNCTION("VLOOKUP($B20,FILTER('Kode Gejala + G44.0'!$B$2:$L$172, 'Kode Gejala + G44.0'!$L$2:$L$172&lt;&gt;""""),11,FALSE)"),"mata kiri terasa nyeri;kemerahan nihil;penglihatan normal;3 hari;pusing;muka perih nihil;gatal nihil;alergi obat nihil")</f>
        <v>mata kiri terasa nyeri;kemerahan nihil;penglihatan normal;3 hari;pusing;muka perih nihil;gatal nihil;alergi obat nihil</v>
      </c>
      <c r="G16" s="10" t="str">
        <f ca="1">IFERROR(__xludf.DUMMYFUNCTION("VLOOKUP($B20,FILTER('Kode Gejala + G44.0'!$B$2:$M$172, 'Kode Gejala + G44.0'!$M$2:$M$172&lt;&gt;""""),12,FALSE)"),"G24,XG69,XG64,G52,G0,O,O,T")</f>
        <v>G24,XG69,XG64,G52,G0,O,O,T</v>
      </c>
    </row>
    <row r="17" spans="1:7" x14ac:dyDescent="0.25">
      <c r="A17" s="18">
        <v>15</v>
      </c>
      <c r="B17" s="19" t="s">
        <v>136</v>
      </c>
      <c r="C17" s="20" t="s">
        <v>135</v>
      </c>
      <c r="D17" s="9" t="s">
        <v>13</v>
      </c>
      <c r="E17" s="10" t="str">
        <f ca="1">IFERROR(__xludf.DUMMYFUNCTION("VLOOKUP($B3,FILTER('Kode Gejala + G44.0'!$B$2:$K$172, 'Kode Gejala + G44.0'!$K$2:$K$172&lt;&gt;""""),10,FALSE)"),"sakit kepala dari mata;-&gt; kepala kiri")</f>
        <v>sakit kepala dari mata;-&gt; kepala kiri</v>
      </c>
      <c r="F17" s="10" t="str">
        <f ca="1">IFERROR(__xludf.DUMMYFUNCTION("VLOOKUP($B3,FILTER('Kode Gejala + G44.0'!$B$2:$L$172, 'Kode Gejala + G44.0'!$L$2:$L$172&lt;&gt;""""),11,FALSE)"),"sakit kepala dari mata;ke kepala kiri")</f>
        <v>sakit kepala dari mata;ke kepala kiri</v>
      </c>
      <c r="G17" s="10" t="str">
        <f ca="1">IFERROR(__xludf.DUMMYFUNCTION("VLOOKUP($B3,FILTER('Kode Gejala + G44.0'!$B$2:$M$172, 'Kode Gejala + G44.0'!$M$2:$M$172&lt;&gt;""""),12,FALSE)"),"G82,G23")</f>
        <v>G82,G23</v>
      </c>
    </row>
    <row r="18" spans="1:7" ht="38.25" x14ac:dyDescent="0.25">
      <c r="A18" s="18">
        <v>16</v>
      </c>
      <c r="B18" s="19" t="s">
        <v>94</v>
      </c>
      <c r="C18" s="20" t="s">
        <v>78</v>
      </c>
      <c r="D18" s="8" t="s">
        <v>13</v>
      </c>
      <c r="E18" s="10" t="str">
        <f ca="1">IFERROR(__xludf.DUMMYFUNCTION("VLOOKUP($B26,FILTER('Kode Gejala + G44.0'!$B$2:$K$172, 'Kode Gejala + G44.0'!$K$2:$K$172&lt;&gt;""""),10,FALSE)"),"puisng;pusingnya sampai ke mata (+);cekot2 (+);mual kemarin pagi (+);bapil (-);nyeri ulu hati (+);kemarin muntah (+);+-2hari sudah minum ibuprofen")</f>
        <v>puisng;pusingnya sampai ke mata (+);cekot2 (+);mual kemarin pagi (+);bapil (-);nyeri ulu hati (+);kemarin muntah (+);+-2hari sudah minum ibuprofen</v>
      </c>
      <c r="F18" s="10" t="str">
        <f ca="1">IFERROR(__xludf.DUMMYFUNCTION("VLOOKUP($B26,FILTER('Kode Gejala + G44.0'!$B$2:$L$172, 'Kode Gejala + G44.0'!$L$2:$L$172&lt;&gt;""""),11,FALSE)"),"pusing;pusingnya sampai ke mata;cekot cekot;mual kemarin pagi;bapil nihil;nyeri ulu hati;kemarin muntah;kurang lebih 2 hari sudah minum ibuprofen")</f>
        <v>pusing;pusingnya sampai ke mata;cekot cekot;mual kemarin pagi;bapil nihil;nyeri ulu hati;kemarin muntah;kurang lebih 2 hari sudah minum ibuprofen</v>
      </c>
      <c r="G18" s="10" t="str">
        <f ca="1">IFERROR(__xludf.DUMMYFUNCTION("VLOOKUP($B26,FILTER('Kode Gejala + G44.0'!$B$2:$M$172, 'Kode Gejala + G44.0'!$M$2:$M$172&lt;&gt;""""),12,FALSE)"),"G0,G24,G11,G61,XG612,G93,G62,T")</f>
        <v>G0,G24,G11,G61,XG612,G93,G62,T</v>
      </c>
    </row>
    <row r="19" spans="1:7" ht="25.5" x14ac:dyDescent="0.25">
      <c r="A19" s="18">
        <v>17</v>
      </c>
      <c r="B19" s="19" t="s">
        <v>147</v>
      </c>
      <c r="C19" s="20" t="s">
        <v>128</v>
      </c>
      <c r="D19" s="9" t="s">
        <v>13</v>
      </c>
      <c r="E19" s="10" t="str">
        <f ca="1">IFERROR(__xludf.DUMMYFUNCTION("VLOOKUP($B6,FILTER('Kode Gejala + G44.0'!$B$2:$K$172, 'Kode Gejala + G44.0'!$K$2:$K$172&lt;&gt;""""),10,FALSE)"),"Pusing sedikit;mual+;muntah+;sdh berobat ke IGD RS PDHI")</f>
        <v>Pusing sedikit;mual+;muntah+;sdh berobat ke IGD RS PDHI</v>
      </c>
      <c r="F19" s="10" t="str">
        <f ca="1">IFERROR(__xludf.DUMMYFUNCTION("VLOOKUP($B6,FILTER('Kode Gejala + G44.0'!$B$2:$L$172, 'Kode Gejala + G44.0'!$L$2:$L$172&lt;&gt;""""),11,FALSE)"),"pusing sedikit;mual;muntah;sudah berobat ke IGD RS PDHI")</f>
        <v>pusing sedikit;mual;muntah;sudah berobat ke IGD RS PDHI</v>
      </c>
      <c r="G19" s="10" t="str">
        <f ca="1">IFERROR(__xludf.DUMMYFUNCTION("VLOOKUP($B6,FILTER('Kode Gejala + G44.0'!$B$2:$M$172, 'Kode Gejala + G44.0'!$M$2:$M$172&lt;&gt;""""),12,FALSE)"),"G41,G61,G62,O")</f>
        <v>G41,G61,G62,O</v>
      </c>
    </row>
    <row r="20" spans="1:7" ht="25.5" x14ac:dyDescent="0.25">
      <c r="A20" s="18">
        <v>18</v>
      </c>
      <c r="B20" s="19" t="s">
        <v>127</v>
      </c>
      <c r="C20" s="20" t="s">
        <v>113</v>
      </c>
      <c r="D20" s="8" t="s">
        <v>13</v>
      </c>
      <c r="E20" s="10" t="str">
        <f ca="1">IFERROR(__xludf.DUMMYFUNCTION("VLOOKUP($B10,FILTER('Kode Gejala + G44.0'!$B$2:$K$172, 'Kode Gejala + G44.0'!$K$2:$K$172&lt;&gt;""""),10,FALSE)"),"Nyeri kepala;demam 1 hr;mual-;nyeri perut-;alergi obat-")</f>
        <v>Nyeri kepala;demam 1 hr;mual-;nyeri perut-;alergi obat-</v>
      </c>
      <c r="F20" s="10" t="str">
        <f ca="1">IFERROR(__xludf.DUMMYFUNCTION("VLOOKUP($B10,FILTER('Kode Gejala + G44.0'!$B$2:$L$172, 'Kode Gejala + G44.0'!$L$2:$L$172&lt;&gt;""""),11,FALSE)"),"nyeri kepala;demam 1 hari;mual nihil;nyeri perut nihil;alergi obat nihil")</f>
        <v>nyeri kepala;demam 1 hari;mual nihil;nyeri perut nihil;alergi obat nihil</v>
      </c>
      <c r="G20" s="10" t="str">
        <f ca="1">IFERROR(__xludf.DUMMYFUNCTION("VLOOKUP($B10,FILTER('Kode Gejala + G44.0'!$B$2:$M$172, 'Kode Gejala + G44.0'!$M$2:$M$172&lt;&gt;""""),12,FALSE)"),"G0,O,XG61,O,T")</f>
        <v>G0,O,XG61,O,T</v>
      </c>
    </row>
    <row r="21" spans="1:7" ht="51" x14ac:dyDescent="0.25">
      <c r="A21" s="18">
        <v>19</v>
      </c>
      <c r="B21" s="19" t="s">
        <v>91</v>
      </c>
      <c r="C21" s="20" t="s">
        <v>64</v>
      </c>
      <c r="D21" s="9" t="s">
        <v>13</v>
      </c>
      <c r="E21" s="10" t="str">
        <f ca="1">IFERROR(__xludf.DUMMYFUNCTION("VLOOKUP($B28,FILTER('Kode Gejala + G44.0'!$B$2:$K$172, 'Kode Gejala + G44.0'!$K$2:$K$172&lt;&gt;""""),10,FALSE)"),"konsultasi nyeri dada (+);sejak 2017 nyeri kepala (+);haid tidak lancar (+);alergi protein hewani (+);alergi obat ?;riwayat amenorhea sekunder sejak 2013;ketidakteraturan siklus")</f>
        <v>konsultasi nyeri dada (+);sejak 2017 nyeri kepala (+);haid tidak lancar (+);alergi protein hewani (+);alergi obat ?;riwayat amenorhea sekunder sejak 2013;ketidakteraturan siklus</v>
      </c>
      <c r="F21" s="10" t="str">
        <f ca="1">IFERROR(__xludf.DUMMYFUNCTION("VLOOKUP($B28,FILTER('Kode Gejala + G44.0'!$B$2:$L$172, 'Kode Gejala + G44.0'!$L$2:$L$172&lt;&gt;""""),11,FALSE)"),"konsultasi nyeri dada;sejak 2017 nyeri kepala;haid tidak lancar;alergi protein hewani;alergi obat;riwayat amenorhea sekunder sejak 2013;ketidakteraturan siklus")</f>
        <v>konsultasi nyeri dada;sejak 2017 nyeri kepala;haid tidak lancar;alergi protein hewani;alergi obat;riwayat amenorhea sekunder sejak 2013;ketidakteraturan siklus</v>
      </c>
      <c r="G21" s="10" t="str">
        <f ca="1">IFERROR(__xludf.DUMMYFUNCTION("VLOOKUP($B28,FILTER('Kode Gejala + G44.0'!$B$2:$M$172, 'Kode Gejala + G44.0'!$M$2:$M$172&lt;&gt;""""),12,FALSE)"),"O,G32,G92,O,O,O,G92")</f>
        <v>O,G32,G92,O,O,O,G92</v>
      </c>
    </row>
    <row r="22" spans="1:7" ht="25.5" x14ac:dyDescent="0.25">
      <c r="A22" s="18">
        <v>20</v>
      </c>
      <c r="B22" s="19" t="s">
        <v>122</v>
      </c>
      <c r="C22" s="20" t="s">
        <v>107</v>
      </c>
      <c r="D22" s="9" t="s">
        <v>13</v>
      </c>
      <c r="E22" s="10" t="str">
        <f ca="1">IFERROR(__xludf.DUMMYFUNCTION("VLOOKUP($B13,FILTER('Kode Gejala + G44.0'!$B$2:$K$172, 'Kode Gejala + G44.0'!$K$2:$K$172&lt;&gt;""""),10,FALSE)"),"pusing sebelah kiri;sejak kemaren;tengkuk bahu terasa kaku")</f>
        <v>pusing sebelah kiri;sejak kemaren;tengkuk bahu terasa kaku</v>
      </c>
      <c r="F22" s="10" t="str">
        <f ca="1">IFERROR(__xludf.DUMMYFUNCTION("VLOOKUP($B13,FILTER('Kode Gejala + G44.0'!$B$2:$L$172, 'Kode Gejala + G44.0'!$L$2:$L$172&lt;&gt;""""),11,FALSE)"),"pusing sebelah kiri;sejak kemarin;tengkuk bahu terasa kaku")</f>
        <v>pusing sebelah kiri;sejak kemarin;tengkuk bahu terasa kaku</v>
      </c>
      <c r="G22" s="10" t="str">
        <f ca="1">IFERROR(__xludf.DUMMYFUNCTION("VLOOKUP($B13,FILTER('Kode Gejala + G44.0'!$B$2:$M$172, 'Kode Gejala + G44.0'!$M$2:$M$172&lt;&gt;""""),12,FALSE)"),"G23,G52,G614")</f>
        <v>G23,G52,G614</v>
      </c>
    </row>
    <row r="23" spans="1:7" ht="38.25" x14ac:dyDescent="0.2">
      <c r="A23" s="18">
        <v>21</v>
      </c>
      <c r="B23" s="19" t="s">
        <v>45</v>
      </c>
      <c r="C23" s="19" t="s">
        <v>44</v>
      </c>
      <c r="D23" s="9" t="s">
        <v>46</v>
      </c>
      <c r="E23" s="10" t="str">
        <f ca="1">IFERROR(__xludf.DUMMYFUNCTION("VLOOKUP($B66,FILTER('Kode Gejala + G44.2'!$B$2:$K$229, 'Kode Gejala + G44.2'!$K$2:$K$229&lt;&gt;""""),10,FALSE)"),"Konsultasi kesehatan;Badan terasa kecapekan (-);Sering nyeri kepala (+);seperti berat Badan terasa lemes (+);Mual (-)")</f>
        <v>Konsultasi kesehatan;Badan terasa kecapekan (-);Sering nyeri kepala (+);seperti berat Badan terasa lemes (+);Mual (-)</v>
      </c>
      <c r="F23" s="15" t="str">
        <f ca="1">IFERROR(__xludf.DUMMYFUNCTION("VLOOKUP($B66,FILTER('Kode Gejala + G44.2'!$B$2:$L$229, 'Kode Gejala + G44.2'!$L$2:$L$229&lt;&gt;""""),11,FALSE)"),"Konsultasi kesehatan;Badan terasa kecapekan nihil;Sering nyeri kepala;seperti berat Badan terasa lemas;Mual nihil")</f>
        <v>Konsultasi kesehatan;Badan terasa kecapekan nihil;Sering nyeri kepala;seperti berat Badan terasa lemas;Mual nihil</v>
      </c>
      <c r="G23" s="10" t="str">
        <f ca="1">IFERROR(__xludf.DUMMYFUNCTION("VLOOKUP($B66,FILTER('Kode Gejala + G44.2'!$B$2:$M$229, 'Kode Gejala + G44.2'!$M$2:$M$229&lt;&gt;""""),12,FALSE)"),"T,O,G31,O,XG61")</f>
        <v>T,O,G31,O,XG61</v>
      </c>
    </row>
    <row r="24" spans="1:7" ht="38.25" x14ac:dyDescent="0.2">
      <c r="A24" s="18">
        <v>22</v>
      </c>
      <c r="B24" s="19" t="s">
        <v>97</v>
      </c>
      <c r="C24" s="19" t="s">
        <v>96</v>
      </c>
      <c r="D24" s="8" t="s">
        <v>46</v>
      </c>
      <c r="E24" s="10" t="str">
        <f ca="1">IFERROR(__xludf.DUMMYFUNCTION("VLOOKUP($B51,FILTER('Kode Gejala + G44.2'!$B$2:$K$229, 'Kode Gejala + G44.2'!$K$2:$K$229&lt;&gt;""""),10,FALSE)"),"Nyeri kepala belakang (+);Sejak hari minggu (+);Sudah minum paracetamol tapi tidak terlalu berkurang (+);Alergi obat (-);Riwayat asm lambung (+)")</f>
        <v>Nyeri kepala belakang (+);Sejak hari minggu (+);Sudah minum paracetamol tapi tidak terlalu berkurang (+);Alergi obat (-);Riwayat asm lambung (+)</v>
      </c>
      <c r="F24" s="15" t="str">
        <f ca="1">IFERROR(__xludf.DUMMYFUNCTION("VLOOKUP($B51,FILTER('Kode Gejala + G44.2'!$B$2:$L$229, 'Kode Gejala + G44.2'!$L$2:$L$229&lt;&gt;""""),11,FALSE)"),"Nyeri kepala belakang;Sejak hari minggu;Sudah minum paracetamol tapi tidak terlalu berkurang;Alergi obat nihil;Riwayat asam lambung")</f>
        <v>Nyeri kepala belakang;Sejak hari minggu;Sudah minum paracetamol tapi tidak terlalu berkurang;Alergi obat nihil;Riwayat asam lambung</v>
      </c>
      <c r="G24" s="10" t="str">
        <f ca="1">IFERROR(__xludf.DUMMYFUNCTION("VLOOKUP($B51,FILTER('Kode Gejala + G44.2'!$B$2:$M$229, 'Kode Gejala + G44.2'!$M$2:$M$229&lt;&gt;""""),12,FALSE)"),"G21,G52,T,T,G93")</f>
        <v>G21,G52,T,T,G93</v>
      </c>
    </row>
    <row r="25" spans="1:7" ht="25.5" x14ac:dyDescent="0.2">
      <c r="A25" s="18">
        <v>23</v>
      </c>
      <c r="B25" s="19" t="s">
        <v>49</v>
      </c>
      <c r="C25" s="19" t="s">
        <v>127</v>
      </c>
      <c r="D25" s="9" t="s">
        <v>46</v>
      </c>
      <c r="E25" s="10" t="str">
        <f ca="1">IFERROR(__xludf.DUMMYFUNCTION("VLOOKUP($B38,FILTER('Kode Gejala + G44.2'!$B$2:$K$229, 'Kode Gejala + G44.2'!$K$2:$K$229&lt;&gt;""""),10,FALSE)"),"Nyeri di tengkuk +-1minggu;Nyeri kepala berdenyut;+-1minggu;Perut kadang terasa tidak nyaman")</f>
        <v>Nyeri di tengkuk +-1minggu;Nyeri kepala berdenyut;+-1minggu;Perut kadang terasa tidak nyaman</v>
      </c>
      <c r="F25" s="15" t="str">
        <f ca="1">IFERROR(__xludf.DUMMYFUNCTION("VLOOKUP($B38,FILTER('Kode Gejala + G44.2'!$B$2:$L$229, 'Kode Gejala + G44.2'!$L$2:$L$229&lt;&gt;""""),11,FALSE)"),"Nyeri di tengkuk kurang lebih 1 minggu;Nyeri kepala berdenyut;kurang lebih 1 minggu;perut kadang terasa tidak nyaman")</f>
        <v>Nyeri di tengkuk kurang lebih 1 minggu;Nyeri kepala berdenyut;kurang lebih 1 minggu;perut kadang terasa tidak nyaman</v>
      </c>
      <c r="G25" s="10" t="str">
        <f ca="1">IFERROR(__xludf.DUMMYFUNCTION("VLOOKUP($B38,FILTER('Kode Gejala + G44.2'!$B$2:$M$229, 'Kode Gejala + G44.2'!$M$2:$M$229&lt;&gt;""""),12,FALSE)"),"G614,G11,G51,O")</f>
        <v>G614,G11,G51,O</v>
      </c>
    </row>
    <row r="26" spans="1:7" x14ac:dyDescent="0.2">
      <c r="A26" s="18">
        <v>24</v>
      </c>
      <c r="B26" s="19" t="s">
        <v>50</v>
      </c>
      <c r="C26" s="19" t="s">
        <v>49</v>
      </c>
      <c r="D26" s="8" t="s">
        <v>46</v>
      </c>
      <c r="E26" s="10" t="str">
        <f ca="1">IFERROR(__xludf.DUMMYFUNCTION("VLOOKUP($B65,FILTER('Kode Gejala + G44.2'!$B$2:$K$229, 'Kode Gejala + G44.2'!$K$2:$K$229&lt;&gt;""""),10,FALSE)"),"Nyeri kepala bagian belakang (+);Mual (+);Muntah (-)")</f>
        <v>Nyeri kepala bagian belakang (+);Mual (+);Muntah (-)</v>
      </c>
      <c r="F26" s="15" t="str">
        <f ca="1">IFERROR(__xludf.DUMMYFUNCTION("VLOOKUP($B65,FILTER('Kode Gejala + G44.2'!$B$2:$L$229, 'Kode Gejala + G44.2'!$L$2:$L$229&lt;&gt;""""),11,FALSE)"),"Nyeri kepala bagian belakang;Mual;Muntah nihil")</f>
        <v>Nyeri kepala bagian belakang;Mual;Muntah nihil</v>
      </c>
      <c r="G26" s="10" t="str">
        <f ca="1">IFERROR(__xludf.DUMMYFUNCTION("VLOOKUP($B65,FILTER('Kode Gejala + G44.2'!$B$2:$M$229, 'Kode Gejala + G44.2'!$M$2:$M$229&lt;&gt;""""),12,FALSE)"),"G21,G61,XG62")</f>
        <v>G21,G61,XG62</v>
      </c>
    </row>
    <row r="27" spans="1:7" ht="51" x14ac:dyDescent="0.2">
      <c r="A27" s="18">
        <v>25</v>
      </c>
      <c r="B27" s="19" t="s">
        <v>75</v>
      </c>
      <c r="C27" s="19" t="s">
        <v>74</v>
      </c>
      <c r="D27" s="9" t="s">
        <v>46</v>
      </c>
      <c r="E27" s="10" t="str">
        <f ca="1">IFERROR(__xludf.DUMMYFUNCTION("VLOOKUP($B60,FILTER('Kode Gejala + G44.2'!$B$2:$K$229, 'Kode Gejala + G44.2'!$K$2:$K$229&lt;&gt;""""),10,FALSE)"),"Nyeri kepala berdenyut (+);Badan lemes (+);Mual (+);Muntah (+);sulit BAB (+);Nyeri perut (+) +-3minggu;Demam (-);Surat Keterangan sakit (+);Alergi obat (-)")</f>
        <v>Nyeri kepala berdenyut (+);Badan lemes (+);Mual (+);Muntah (+);sulit BAB (+);Nyeri perut (+) +-3minggu;Demam (-);Surat Keterangan sakit (+);Alergi obat (-)</v>
      </c>
      <c r="F27" s="15" t="str">
        <f ca="1">IFERROR(__xludf.DUMMYFUNCTION("VLOOKUP($B60,FILTER('Kode Gejala + G44.2'!$B$2:$L$229, 'Kode Gejala + G44.2'!$L$2:$L$229&lt;&gt;""""),11,FALSE)"),"Nyeri kepala berdenyut;Badan lemes;Mual;Muntah;sulit BAB;Nyeri perut kurang lebih 3 minggu;Demam nihil;Surat Keterangan sakit;Alergi obat nihil")</f>
        <v>Nyeri kepala berdenyut;Badan lemes;Mual;Muntah;sulit BAB;Nyeri perut kurang lebih 3 minggu;Demam nihil;Surat Keterangan sakit;Alergi obat nihil</v>
      </c>
      <c r="G27" s="10" t="str">
        <f ca="1">IFERROR(__xludf.DUMMYFUNCTION("VLOOKUP($B60,FILTER('Kode Gejala + G44.2'!$B$2:$M$229, 'Kode Gejala + G44.2'!$M$2:$M$229&lt;&gt;""""),12,FALSE)"),"G11,O,G61,G62,O,O,O,T,T")</f>
        <v>G11,O,G61,G62,O,O,O,T,T</v>
      </c>
    </row>
    <row r="28" spans="1:7" ht="38.25" x14ac:dyDescent="0.2">
      <c r="A28" s="18">
        <v>26</v>
      </c>
      <c r="B28" s="19" t="s">
        <v>92</v>
      </c>
      <c r="C28" s="19" t="s">
        <v>91</v>
      </c>
      <c r="D28" s="9" t="s">
        <v>46</v>
      </c>
      <c r="E28" s="10" t="str">
        <f ca="1">IFERROR(__xludf.DUMMYFUNCTION("VLOOKUP($B55,FILTER('Kode Gejala + G44.2'!$B$2:$K$229, 'Kode Gejala + G44.2'!$K$2:$K$229&lt;&gt;""""),10,FALSE)"),"Konsultasi;Nyeri kepala 3hari yll;Mual (-);Riwayat kehujanan 3hari yll;Suah minum imboost, antalgin/paracetamol sudah enakan")</f>
        <v>Konsultasi;Nyeri kepala 3hari yll;Mual (-);Riwayat kehujanan 3hari yll;Suah minum imboost, antalgin/paracetamol sudah enakan</v>
      </c>
      <c r="F28" s="15" t="str">
        <f ca="1">IFERROR(__xludf.DUMMYFUNCTION("VLOOKUP($B55,FILTER('Kode Gejala + G44.2'!$B$2:$L$229, 'Kode Gejala + G44.2'!$L$2:$L$229&lt;&gt;""""),11,FALSE)"),"Konsultasi;Nyeri kepala 3 hari yang lalu;Mual nihil;Riwayat kehujanan 3 hari yang lalu;Sudah minum imboost, antalgin atau paracetamol sudah enakan")</f>
        <v>Konsultasi;Nyeri kepala 3 hari yang lalu;Mual nihil;Riwayat kehujanan 3 hari yang lalu;Sudah minum imboost, antalgin atau paracetamol sudah enakan</v>
      </c>
      <c r="G28" s="10" t="str">
        <f ca="1">IFERROR(__xludf.DUMMYFUNCTION("VLOOKUP($B55,FILTER('Kode Gejala + G44.2'!$B$2:$M$229, 'Kode Gejala + G44.2'!$M$2:$M$229&lt;&gt;""""),12,FALSE)"),"T,G52,XG61,T,T")</f>
        <v>T,G52,XG61,T,T</v>
      </c>
    </row>
    <row r="29" spans="1:7" ht="38.25" x14ac:dyDescent="0.2">
      <c r="A29" s="18">
        <v>27</v>
      </c>
      <c r="B29" s="19" t="s">
        <v>64</v>
      </c>
      <c r="C29" s="19" t="s">
        <v>131</v>
      </c>
      <c r="D29" s="9" t="s">
        <v>46</v>
      </c>
      <c r="E29" s="10" t="str">
        <f ca="1">IFERROR(__xludf.DUMMYFUNCTION("VLOOKUP($B35,FILTER('Kode Gejala + G44.2'!$B$2:$K$229, 'Kode Gejala + G44.2'!$K$2:$K$229&lt;&gt;""""),10,FALSE)"),"pusing cekot2 +;kadang batuk +;dahak-;tenggorokan gatal +;demam -;pilek -;sejak semlm ( kadang minum ceterizin );alergi obat -;haid mei , agst , tdk teratur")</f>
        <v>pusing cekot2 +;kadang batuk +;dahak-;tenggorokan gatal +;demam -;pilek -;sejak semlm ( kadang minum ceterizin );alergi obat -;haid mei , agst , tdk teratur</v>
      </c>
      <c r="F29" s="15" t="str">
        <f ca="1">IFERROR(__xludf.DUMMYFUNCTION("VLOOKUP($B35,FILTER('Kode Gejala + G44.2'!$B$2:$L$229, 'Kode Gejala + G44.2'!$L$2:$L$229&lt;&gt;""""),11,FALSE)"),"pusing cekot cekot;kadang batuk;dahak nihil;tenggorokan gatal;demam nihil;pilek nihil;sejak semalam kadang minum ceterizin;alergi obat nihil;haid mei, agst, tidak teratur")</f>
        <v>pusing cekot cekot;kadang batuk;dahak nihil;tenggorokan gatal;demam nihil;pilek nihil;sejak semalam kadang minum ceterizin;alergi obat nihil;haid mei, agst, tidak teratur</v>
      </c>
      <c r="G29" s="10" t="str">
        <f ca="1">IFERROR(__xludf.DUMMYFUNCTION("VLOOKUP($B35,FILTER('Kode Gejala + G44.2'!$B$2:$M$229, 'Kode Gejala + G44.2'!$M$2:$M$229&lt;&gt;""""),12,FALSE)"),"G11,O,O,O,O,XG612,G52,T,G92")</f>
        <v>G11,O,O,O,O,XG612,G52,T,G92</v>
      </c>
    </row>
    <row r="30" spans="1:7" ht="51" x14ac:dyDescent="0.2">
      <c r="A30" s="18">
        <v>28</v>
      </c>
      <c r="B30" s="19" t="s">
        <v>84</v>
      </c>
      <c r="C30" s="19" t="s">
        <v>83</v>
      </c>
      <c r="D30" s="9" t="s">
        <v>46</v>
      </c>
      <c r="E30" s="10" t="str">
        <f ca="1">IFERROR(__xludf.DUMMYFUNCTION("VLOOKUP($B57,FILTER('Kode Gejala + G44.2'!$B$2:$K$229, 'Kode Gejala + G44.2'!$K$2:$K$229&lt;&gt;""""),10,FALSE)"),"Badan terasa lemas (+);Tadi malam sulit tidur (+);Mata terasa berat (+);Nyeri kepala (+);Mual (+);Muntah (-);Diare (-);RPD HT minum obat amlodipin 5mg stressor -&gt; disertasi")</f>
        <v>Badan terasa lemas (+);Tadi malam sulit tidur (+);Mata terasa berat (+);Nyeri kepala (+);Mual (+);Muntah (-);Diare (-);RPD HT minum obat amlodipin 5mg stressor -&gt; disertasi</v>
      </c>
      <c r="F30" s="15" t="str">
        <f ca="1">IFERROR(__xludf.DUMMYFUNCTION("VLOOKUP($B57,FILTER('Kode Gejala + G44.2'!$B$2:$L$229, 'Kode Gejala + G44.2'!$L$2:$L$229&lt;&gt;""""),11,FALSE)"),"Badan terasa lemas;Tadi malam sulit tidur;Mata terasa berat;Nyeri kepala;Mual;Muntah nihil;Diare nihil;RPD HT minum obat amlodipin 5 mg stressor ke disertasi")</f>
        <v>Badan terasa lemas;Tadi malam sulit tidur;Mata terasa berat;Nyeri kepala;Mual;Muntah nihil;Diare nihil;RPD HT minum obat amlodipin 5 mg stressor ke disertasi</v>
      </c>
      <c r="G30" s="10" t="str">
        <f ca="1">IFERROR(__xludf.DUMMYFUNCTION("VLOOKUP($B57,FILTER('Kode Gejala + G44.2'!$B$2:$M$229, 'Kode Gejala + G44.2'!$M$2:$M$229&lt;&gt;""""),12,FALSE)"),"O,G68,O,G0,G61,XG62,O,G92")</f>
        <v>O,G68,O,G0,G61,XG62,O,G92</v>
      </c>
    </row>
    <row r="31" spans="1:7" ht="51" x14ac:dyDescent="0.2">
      <c r="A31" s="18">
        <v>29</v>
      </c>
      <c r="B31" s="19" t="s">
        <v>54</v>
      </c>
      <c r="C31" s="19" t="s">
        <v>53</v>
      </c>
      <c r="D31" s="9" t="s">
        <v>46</v>
      </c>
      <c r="E31" s="10" t="str">
        <f ca="1">IFERROR(__xludf.DUMMYFUNCTION("VLOOKUP($B64,FILTER('Kode Gejala + G44.2'!$B$2:$K$229, 'Kode Gejala + G44.2'!$K$2:$K$229&lt;&gt;""""),10,FALSE)"),"Kepala terasa nyeri dan tengkuk (+);Perut nyeri (+);Mual (+);Muntah (-);Demam dari semalam (+);batuk (-);Pilek (-);Nyeri tenggorokan (-);Sesek (-);+-2hari sudah minum poldanmix")</f>
        <v>Kepala terasa nyeri dan tengkuk (+);Perut nyeri (+);Mual (+);Muntah (-);Demam dari semalam (+);batuk (-);Pilek (-);Nyeri tenggorokan (-);Sesek (-);+-2hari sudah minum poldanmix</v>
      </c>
      <c r="F31" s="15" t="str">
        <f ca="1">IFERROR(__xludf.DUMMYFUNCTION("VLOOKUP($B64,FILTER('Kode Gejala + G44.2'!$B$2:$L$229, 'Kode Gejala + G44.2'!$L$2:$L$229&lt;&gt;""""),11,FALSE)"),"Kepala terasa nyeri dan tengkuk;Perut nyeri;Mual;Muntah nihil;Demam dari semalam;batuk nihil;Pilek nihil;Nyeri tenggorokan nihil;Sesek nihil;kurang lebih 2 hari sudah minum poldanmix")</f>
        <v>Kepala terasa nyeri dan tengkuk;Perut nyeri;Mual;Muntah nihil;Demam dari semalam;batuk nihil;Pilek nihil;Nyeri tenggorokan nihil;Sesek nihil;kurang lebih 2 hari sudah minum poldanmix</v>
      </c>
      <c r="G31" s="10" t="str">
        <f ca="1">IFERROR(__xludf.DUMMYFUNCTION("VLOOKUP($B64,FILTER('Kode Gejala + G44.2'!$B$2:$M$229, 'Kode Gejala + G44.2'!$M$2:$M$229&lt;&gt;""""),12,FALSE)"),"G14,G93,G61,XG62,O,O,XG612,O,O,T")</f>
        <v>G14,G93,G61,XG62,O,O,XG612,O,O,T</v>
      </c>
    </row>
    <row r="32" spans="1:7" ht="51" x14ac:dyDescent="0.2">
      <c r="A32" s="18">
        <v>30</v>
      </c>
      <c r="B32" s="19" t="s">
        <v>60</v>
      </c>
      <c r="C32" s="19" t="s">
        <v>130</v>
      </c>
      <c r="D32" s="9" t="s">
        <v>46</v>
      </c>
      <c r="E32" s="10" t="str">
        <f ca="1">IFERROR(__xludf.DUMMYFUNCTION("VLOOKUP($B36,FILTER('Kode Gejala + G44.2'!$B$2:$K$229, 'Kode Gejala + G44.2'!$K$2:$K$229&lt;&gt;""""),10,FALSE)"),"bagian mulut terasa ketarik2 (+);nyeri di kepala bagian atas kiri (+);RPD (nyeri tulang belakang);mulut terasa pahit (+);kaki kanan/kiri sering terasa kram (+);mual (-);muntah (-)")</f>
        <v>bagian mulut terasa ketarik2 (+);nyeri di kepala bagian atas kiri (+);RPD (nyeri tulang belakang);mulut terasa pahit (+);kaki kanan/kiri sering terasa kram (+);mual (-);muntah (-)</v>
      </c>
      <c r="F32" s="15" t="str">
        <f ca="1">IFERROR(__xludf.DUMMYFUNCTION("VLOOKUP($B36,FILTER('Kode Gejala + G44.2'!$B$2:$L$229, 'Kode Gejala + G44.2'!$L$2:$L$229&lt;&gt;""""),11,FALSE)"),"bagian mulut terasa ketarik tarik;nyeri di kepala bagian atas kiri;RPD nyeri tulang belakang;mulut terasa pahit;kaki kanan atau kiri sering terasa kram;mual nihil;muntah nihil")</f>
        <v>bagian mulut terasa ketarik tarik;nyeri di kepala bagian atas kiri;RPD nyeri tulang belakang;mulut terasa pahit;kaki kanan atau kiri sering terasa kram;mual nihil;muntah nihil</v>
      </c>
      <c r="G32" s="10" t="str">
        <f ca="1">IFERROR(__xludf.DUMMYFUNCTION("VLOOKUP($B36,FILTER('Kode Gejala + G44.2'!$B$2:$M$229, 'Kode Gejala + G44.2'!$M$2:$M$229&lt;&gt;""""),12,FALSE)"),"O,G23,O,O,O,XG61,XG62")</f>
        <v>O,G23,O,O,O,XG61,XG62</v>
      </c>
    </row>
    <row r="33" spans="1:7" ht="38.25" x14ac:dyDescent="0.2">
      <c r="A33" s="18">
        <v>31</v>
      </c>
      <c r="B33" s="19" t="s">
        <v>53</v>
      </c>
      <c r="C33" s="19" t="s">
        <v>128</v>
      </c>
      <c r="D33" s="8" t="s">
        <v>46</v>
      </c>
      <c r="E33" s="10" t="str">
        <f ca="1">IFERROR(__xludf.DUMMYFUNCTION("VLOOKUP($B37,FILTER('Kode Gejala + G44.2'!$B$2:$K$229, 'Kode Gejala + G44.2'!$K$2:$K$229&lt;&gt;""""),10,FALSE)"),"Nyeri tengkuk sdh berlangsung 3 bln;nyeri kepala berdenyut;kadang2 berputar;Mual (-);demam (-);badan terasa pegal2;batuk (-);pilek (-);Minta ijin surat sakit")</f>
        <v>Nyeri tengkuk sdh berlangsung 3 bln;nyeri kepala berdenyut;kadang2 berputar;Mual (-);demam (-);badan terasa pegal2;batuk (-);pilek (-);Minta ijin surat sakit</v>
      </c>
      <c r="F33" s="15" t="str">
        <f ca="1">IFERROR(__xludf.DUMMYFUNCTION("VLOOKUP($B37,FILTER('Kode Gejala + G44.2'!$B$2:$L$229, 'Kode Gejala + G44.2'!$L$2:$L$229&lt;&gt;""""),11,FALSE)"),"nyeri tengkuk sudah berlangsung 3 bulan;nyeri kepala berdenyut;kadang kadang berputar;mual nihil;demam nihil;badan terasa pegal pegal;batuk nihil;pilek nihil;minta ijin surat sakit")</f>
        <v>nyeri tengkuk sudah berlangsung 3 bulan;nyeri kepala berdenyut;kadang kadang berputar;mual nihil;demam nihil;badan terasa pegal pegal;batuk nihil;pilek nihil;minta ijin surat sakit</v>
      </c>
      <c r="G33" s="10" t="str">
        <f ca="1">IFERROR(__xludf.DUMMYFUNCTION("VLOOKUP($B37,FILTER('Kode Gejala + G44.2'!$B$2:$M$229, 'Kode Gejala + G44.2'!$M$2:$M$229&lt;&gt;""""),12,FALSE)"),"G614,G11,O,XG61,O,O,O,XG612,T")</f>
        <v>G614,G11,O,XG61,O,O,O,XG612,T</v>
      </c>
    </row>
    <row r="34" spans="1:7" ht="38.25" x14ac:dyDescent="0.2">
      <c r="A34" s="18">
        <v>32</v>
      </c>
      <c r="B34" s="19" t="s">
        <v>116</v>
      </c>
      <c r="C34" s="19" t="s">
        <v>115</v>
      </c>
      <c r="D34" s="8" t="s">
        <v>46</v>
      </c>
      <c r="E34" s="10" t="str">
        <f ca="1">IFERROR(__xludf.DUMMYFUNCTION("VLOOKUP($B43,FILTER('Kode Gejala + G44.2'!$B$2:$K$229, 'Kode Gejala + G44.2'!$K$2:$K$229&lt;&gt;""""),10,FALSE)"),"Daun telinga kanan terasa gatal (+);nyeri (-);gatal hilang timbul (+);cairan keluar (-);+-2-3bulan (+);alergi obat (-);tengkuk terasa kaku;nyeri menjalar sampai ke kepala")</f>
        <v>Daun telinga kanan terasa gatal (+);nyeri (-);gatal hilang timbul (+);cairan keluar (-);+-2-3bulan (+);alergi obat (-);tengkuk terasa kaku;nyeri menjalar sampai ke kepala</v>
      </c>
      <c r="F34" s="15" t="str">
        <f ca="1">IFERROR(__xludf.DUMMYFUNCTION("VLOOKUP($B43,FILTER('Kode Gejala + G44.2'!$B$2:$L$229, 'Kode Gejala + G44.2'!$L$2:$L$229&lt;&gt;""""),11,FALSE)"),"daun telinga kanan terasa gatal;nyeri nihil;gatal hilang timbul;cairan keluar nihil;kurang lebih 2 sampai 3 bulan;alergi obat nihil;tengkuk terasa kaku;nyeri menjalar sampai ke kepala")</f>
        <v>daun telinga kanan terasa gatal;nyeri nihil;gatal hilang timbul;cairan keluar nihil;kurang lebih 2 sampai 3 bulan;alergi obat nihil;tengkuk terasa kaku;nyeri menjalar sampai ke kepala</v>
      </c>
      <c r="G34" s="10" t="str">
        <f ca="1">IFERROR(__xludf.DUMMYFUNCTION("VLOOKUP($B43,FILTER('Kode Gejala + G44.2'!$B$2:$M$229, 'Kode Gejala + G44.2'!$M$2:$M$229&lt;&gt;""""),12,FALSE)"),"O,O,O,O,O,T,G614,G82")</f>
        <v>O,O,O,O,O,T,G614,G82</v>
      </c>
    </row>
    <row r="35" spans="1:7" ht="25.5" x14ac:dyDescent="0.2">
      <c r="A35" s="18">
        <v>33</v>
      </c>
      <c r="B35" s="19" t="s">
        <v>104</v>
      </c>
      <c r="C35" s="19" t="s">
        <v>103</v>
      </c>
      <c r="D35" s="9" t="s">
        <v>46</v>
      </c>
      <c r="E35" s="10" t="str">
        <f ca="1">IFERROR(__xludf.DUMMYFUNCTION("VLOOKUP($B47,FILTER('Kode Gejala + G44.2'!$B$2:$K$229, 'Kode Gejala + G44.2'!$K$2:$K$229&lt;&gt;""""),10,FALSE)"),"Kepala terasa pusing (+);perut mual (+);muntah (-);demam (-);batuk (-) +-2hari")</f>
        <v>Kepala terasa pusing (+);perut mual (+);muntah (-);demam (-);batuk (-) +-2hari</v>
      </c>
      <c r="F35" s="15" t="str">
        <f ca="1">IFERROR(__xludf.DUMMYFUNCTION("VLOOKUP($B47,FILTER('Kode Gejala + G44.2'!$B$2:$L$229, 'Kode Gejala + G44.2'!$L$2:$L$229&lt;&gt;""""),11,FALSE)"),"Kepala terasa pusing;perut mual;muntah nihil;demam nihil;batuk nihil kurang lebih 2 hari")</f>
        <v>Kepala terasa pusing;perut mual;muntah nihil;demam nihil;batuk nihil kurang lebih 2 hari</v>
      </c>
      <c r="G35" s="10" t="str">
        <f ca="1">IFERROR(__xludf.DUMMYFUNCTION("VLOOKUP($B47,FILTER('Kode Gejala + G44.2'!$B$2:$M$229, 'Kode Gejala + G44.2'!$M$2:$M$229&lt;&gt;""""),12,FALSE)"),"G0,G61,XG62,O,O")</f>
        <v>G0,G61,XG62,O,O</v>
      </c>
    </row>
    <row r="36" spans="1:7" ht="51" x14ac:dyDescent="0.2">
      <c r="A36" s="18">
        <v>34</v>
      </c>
      <c r="B36" s="19" t="s">
        <v>119</v>
      </c>
      <c r="C36" s="19" t="s">
        <v>118</v>
      </c>
      <c r="D36" s="9" t="s">
        <v>46</v>
      </c>
      <c r="E36" s="10" t="str">
        <f ca="1">IFERROR(__xludf.DUMMYFUNCTION("VLOOKUP($B42,FILTER('Kode Gejala + G44.2'!$B$2:$K$229, 'Kode Gejala + G44.2'!$K$2:$K$229&lt;&gt;""""),10,FALSE)"),"sabtu siang mulai demam batuk (-);pilek (-);nyeri tenggorokan (-);sesek (-);sariawan (+);pusing (+);mual(-);sudah minum pct, terakhir minum semalam;alergi obat (-)")</f>
        <v>sabtu siang mulai demam batuk (-);pilek (-);nyeri tenggorokan (-);sesek (-);sariawan (+);pusing (+);mual(-);sudah minum pct, terakhir minum semalam;alergi obat (-)</v>
      </c>
      <c r="F36" s="15" t="str">
        <f ca="1">IFERROR(__xludf.DUMMYFUNCTION("VLOOKUP($B42,FILTER('Kode Gejala + G44.2'!$B$2:$L$229, 'Kode Gejala + G44.2'!$L$2:$L$229&lt;&gt;""""),11,FALSE)"),"sabtu siang mulai demam batuk nihil;pilek nihil;nyeri tenggorokan nihil;sesak nihil;sariawan;pusing;mual nihil;sudah minum pct, terakhir minum semalam;alergi obat nihil")</f>
        <v>sabtu siang mulai demam batuk nihil;pilek nihil;nyeri tenggorokan nihil;sesak nihil;sariawan;pusing;mual nihil;sudah minum pct, terakhir minum semalam;alergi obat nihil</v>
      </c>
      <c r="G36" s="10" t="str">
        <f ca="1">IFERROR(__xludf.DUMMYFUNCTION("VLOOKUP($B42,FILTER('Kode Gejala + G44.2'!$B$2:$M$229, 'Kode Gejala + G44.2'!$M$2:$M$229&lt;&gt;""""),12,FALSE)"),"O,XG612,O,O,O,G0,XG61,T,T")</f>
        <v>O,XG612,O,O,O,G0,XG61,T,T</v>
      </c>
    </row>
    <row r="37" spans="1:7" ht="51" x14ac:dyDescent="0.2">
      <c r="A37" s="18">
        <v>35</v>
      </c>
      <c r="B37" s="19" t="s">
        <v>79</v>
      </c>
      <c r="C37" s="19" t="s">
        <v>78</v>
      </c>
      <c r="D37" s="8" t="s">
        <v>46</v>
      </c>
      <c r="E37" s="10" t="str">
        <f ca="1">IFERROR(__xludf.DUMMYFUNCTION("VLOOKUP($B59,FILTER('Kode Gejala + G44.2'!$B$2:$K$229, 'Kode Gejala + G44.2'!$K$2:$K$229&lt;&gt;""""),10,FALSE)"),"Tengkuk terasa kaku (+);Pusing hilang timbul (+);Lemes (+);batuk (+);Dahak (+);batuk kadang2 Mual (-);Perut terasa tidak nyaman (+);riwayat minum kopi +-5hari;sudah minum PCT")</f>
        <v>Tengkuk terasa kaku (+);Pusing hilang timbul (+);Lemes (+);batuk (+);Dahak (+);batuk kadang2 Mual (-);Perut terasa tidak nyaman (+);riwayat minum kopi +-5hari;sudah minum PCT</v>
      </c>
      <c r="F37" s="15" t="str">
        <f ca="1">IFERROR(__xludf.DUMMYFUNCTION("VLOOKUP($B59,FILTER('Kode Gejala + G44.2'!$B$2:$L$229, 'Kode Gejala + G44.2'!$L$2:$L$229&lt;&gt;""""),11,FALSE)"),"Tengkuk terasa kaku;Pusing hilang timbul;Lemes;batuk;Dahak;batuk kadang kadang Mual nihil;Perut terasa tidak nyaman;riwayat minum kopi kurang lebih 5 hari;sudah minum PCT")</f>
        <v>Tengkuk terasa kaku;Pusing hilang timbul;Lemes;batuk;Dahak;batuk kadang kadang Mual nihil;Perut terasa tidak nyaman;riwayat minum kopi kurang lebih 5 hari;sudah minum PCT</v>
      </c>
      <c r="G37" s="10" t="str">
        <f ca="1">IFERROR(__xludf.DUMMYFUNCTION("VLOOKUP($B59,FILTER('Kode Gejala + G44.2'!$B$2:$M$229, 'Kode Gejala + G44.2'!$M$2:$M$229&lt;&gt;""""),12,FALSE)"),"G614,G31,O,O,O,XG61,O,T,T")</f>
        <v>G614,G31,O,O,O,XG61,O,T,T</v>
      </c>
    </row>
    <row r="38" spans="1:7" ht="25.5" x14ac:dyDescent="0.2">
      <c r="A38" s="18">
        <v>36</v>
      </c>
      <c r="B38" s="19" t="s">
        <v>90</v>
      </c>
      <c r="C38" s="19" t="s">
        <v>89</v>
      </c>
      <c r="D38" s="8" t="s">
        <v>46</v>
      </c>
      <c r="E38" s="10" t="str">
        <f ca="1">IFERROR(__xludf.DUMMYFUNCTION("VLOOKUP($B56,FILTER('Kode Gejala + G44.2'!$B$2:$K$229, 'Kode Gejala + G44.2'!$K$2:$K$229&lt;&gt;""""),10,FALSE)"),"nyeri kepala;sering keringat dingin;kepala terasa terikat;kembung;mual (+)")</f>
        <v>nyeri kepala;sering keringat dingin;kepala terasa terikat;kembung;mual (+)</v>
      </c>
      <c r="F38" s="15" t="str">
        <f ca="1">IFERROR(__xludf.DUMMYFUNCTION("VLOOKUP($B56,FILTER('Kode Gejala + G44.2'!$B$2:$L$229, 'Kode Gejala + G44.2'!$L$2:$L$229&lt;&gt;""""),11,FALSE)"),"nyeri kepala;sering keringat dingin;kepala terasa terikat;kembung;mual")</f>
        <v>nyeri kepala;sering keringat dingin;kepala terasa terikat;kembung;mual</v>
      </c>
      <c r="G38" s="10" t="str">
        <f ca="1">IFERROR(__xludf.DUMMYFUNCTION("VLOOKUP($B56,FILTER('Kode Gejala + G44.2'!$B$2:$M$229, 'Kode Gejala + G44.2'!$M$2:$M$229&lt;&gt;""""),12,FALSE)"),"G0,O,G15,G93,G61")</f>
        <v>G0,O,G15,G93,G61</v>
      </c>
    </row>
    <row r="39" spans="1:7" ht="25.5" x14ac:dyDescent="0.2">
      <c r="A39" s="18">
        <v>37</v>
      </c>
      <c r="B39" s="19" t="s">
        <v>100</v>
      </c>
      <c r="C39" s="19" t="s">
        <v>99</v>
      </c>
      <c r="D39" s="9" t="s">
        <v>46</v>
      </c>
      <c r="E39" s="10" t="str">
        <f ca="1">IFERROR(__xludf.DUMMYFUNCTION("VLOOKUP($B49,FILTER('Kode Gejala + G44.2'!$B$2:$K$229, 'Kode Gejala + G44.2'!$K$2:$K$229&lt;&gt;""""),10,FALSE)"),"Demam +-2hari;Meriang (+);Nyeri kepala (+);Gigi Ngilu (+);Batuk;Pilek (+);Riwayat Asam lambung (+)")</f>
        <v>Demam +-2hari;Meriang (+);Nyeri kepala (+);Gigi Ngilu (+);Batuk;Pilek (+);Riwayat Asam lambung (+)</v>
      </c>
      <c r="F39" s="15" t="str">
        <f ca="1">IFERROR(__xludf.DUMMYFUNCTION("VLOOKUP($B49,FILTER('Kode Gejala + G44.2'!$B$2:$L$229, 'Kode Gejala + G44.2'!$L$2:$L$229&lt;&gt;""""),11,FALSE)"),"Demam kurang lebih 2 hari;Meriang;Nyeri kepala;Gigi Ngilu;Batuk;Pilek;Riwayat Asam lambung")</f>
        <v>Demam kurang lebih 2 hari;Meriang;Nyeri kepala;Gigi Ngilu;Batuk;Pilek;Riwayat Asam lambung</v>
      </c>
      <c r="G39" s="10" t="str">
        <f ca="1">IFERROR(__xludf.DUMMYFUNCTION("VLOOKUP($B49,FILTER('Kode Gejala + G44.2'!$B$2:$M$229, 'Kode Gejala + G44.2'!$M$2:$M$229&lt;&gt;""""),12,FALSE)"),"O,O,G0,O,O,G612,G93")</f>
        <v>O,O,G0,O,O,G612,G93</v>
      </c>
    </row>
    <row r="40" spans="1:7" ht="25.5" x14ac:dyDescent="0.2">
      <c r="A40" s="18">
        <v>38</v>
      </c>
      <c r="B40" s="19" t="s">
        <v>61</v>
      </c>
      <c r="C40" s="19" t="s">
        <v>60</v>
      </c>
      <c r="D40" s="9" t="s">
        <v>46</v>
      </c>
      <c r="E40" s="10" t="str">
        <f ca="1">IFERROR(__xludf.DUMMYFUNCTION("VLOOKUP($B63,FILTER('Kode Gejala + G44.2'!$B$2:$K$229, 'Kode Gejala + G44.2'!$K$2:$K$229&lt;&gt;""""),10,FALSE)"),"nyeri kepala sperti terikat;disertai mual;kadang muntah;dan perut perih")</f>
        <v>nyeri kepala sperti terikat;disertai mual;kadang muntah;dan perut perih</v>
      </c>
      <c r="F40" s="15" t="str">
        <f ca="1">IFERROR(__xludf.DUMMYFUNCTION("VLOOKUP($B63,FILTER('Kode Gejala + G44.2'!$B$2:$L$229, 'Kode Gejala + G44.2'!$L$2:$L$229&lt;&gt;""""),11,FALSE)"),"nyeri kepala seperti terikat;disertai mual;kadang muntah;dan perut perih")</f>
        <v>nyeri kepala seperti terikat;disertai mual;kadang muntah;dan perut perih</v>
      </c>
      <c r="G40" s="10" t="str">
        <f ca="1">IFERROR(__xludf.DUMMYFUNCTION("VLOOKUP($B63,FILTER('Kode Gejala + G44.2'!$B$2:$M$229, 'Kode Gejala + G44.2'!$M$2:$M$229&lt;&gt;""""),12,FALSE)"),"G15,G61,G62,O")</f>
        <v>G15,G61,G62,O</v>
      </c>
    </row>
    <row r="41" spans="1:7" ht="25.5" x14ac:dyDescent="0.2">
      <c r="A41" s="18">
        <v>39</v>
      </c>
      <c r="B41" s="19" t="s">
        <v>65</v>
      </c>
      <c r="C41" s="19" t="s">
        <v>64</v>
      </c>
      <c r="D41" s="8" t="s">
        <v>46</v>
      </c>
      <c r="E41" s="10" t="str">
        <f ca="1">IFERROR(__xludf.DUMMYFUNCTION("VLOOKUP($B62,FILTER('Kode Gejala + G44.2'!$B$2:$K$229, 'Kode Gejala + G44.2'!$K$2:$K$229&lt;&gt;""""),10,FALSE)"),"Nyeri kepala sebelah;+-1hari yang lalu;Mual (+);Muntah (-);Nyeri perut bagian bawah (+)")</f>
        <v>Nyeri kepala sebelah;+-1hari yang lalu;Mual (+);Muntah (-);Nyeri perut bagian bawah (+)</v>
      </c>
      <c r="F41" s="15" t="str">
        <f ca="1">IFERROR(__xludf.DUMMYFUNCTION("VLOOKUP($B62,FILTER('Kode Gejala + G44.2'!$B$2:$L$229, 'Kode Gejala + G44.2'!$L$2:$L$229&lt;&gt;""""),11,FALSE)"),"Nyeri kepala sebelah;kurang lebih 1 hari yang lalu;Mual;Muntah nihil;Nyeri perut bagian bawah")</f>
        <v>Nyeri kepala sebelah;kurang lebih 1 hari yang lalu;Mual;Muntah nihil;Nyeri perut bagian bawah</v>
      </c>
      <c r="G41" s="10" t="str">
        <f ca="1">IFERROR(__xludf.DUMMYFUNCTION("VLOOKUP($B62,FILTER('Kode Gejala + G44.2'!$B$2:$M$229, 'Kode Gejala + G44.2'!$M$2:$M$229&lt;&gt;""""),12,FALSE)"),"G23,G52,G61,XG62,O")</f>
        <v>G23,G52,G61,XG62,O</v>
      </c>
    </row>
    <row r="42" spans="1:7" ht="38.25" x14ac:dyDescent="0.2">
      <c r="A42" s="18">
        <v>40</v>
      </c>
      <c r="B42" s="19" t="s">
        <v>68</v>
      </c>
      <c r="C42" s="19" t="s">
        <v>67</v>
      </c>
      <c r="D42" s="9" t="s">
        <v>46</v>
      </c>
      <c r="E42" s="10" t="str">
        <f ca="1">IFERROR(__xludf.DUMMYFUNCTION("VLOOKUP($B61,FILTER('Kode Gejala + G44.2'!$B$2:$K$229, 'Kode Gejala + G44.2'!$K$2:$K$229&lt;&gt;""""),10,FALSE)"),"kepala terasa berat;nggliyer dan terasa cekot2 (+);sejak tadi pagi (+);mual (+);muntah (-);leher cengeng (+);riwayat GERD")</f>
        <v>kepala terasa berat;nggliyer dan terasa cekot2 (+);sejak tadi pagi (+);mual (+);muntah (-);leher cengeng (+);riwayat GERD</v>
      </c>
      <c r="F42" s="15" t="str">
        <f ca="1">IFERROR(__xludf.DUMMYFUNCTION("VLOOKUP($B61,FILTER('Kode Gejala + G44.2'!$B$2:$L$229, 'Kode Gejala + G44.2'!$L$2:$L$229&lt;&gt;""""),11,FALSE)"),"kepala terasa berat;nggliyer dan terasa cekot cekot;sejak tadi pagi;mual;muntah nihil;leher cengeng;riwayat GERD")</f>
        <v>kepala terasa berat;nggliyer dan terasa cekot cekot;sejak tadi pagi;mual;muntah nihil;leher cengeng;riwayat GERD</v>
      </c>
      <c r="G42" s="10" t="str">
        <f ca="1">IFERROR(__xludf.DUMMYFUNCTION("VLOOKUP($B61,FILTER('Kode Gejala + G44.2'!$B$2:$M$229, 'Kode Gejala + G44.2'!$M$2:$M$229&lt;&gt;""""),12,FALSE)"),"G13,G11,G52,G61,XG62,G614,G93")</f>
        <v>G13,G11,G52,G61,XG62,G614,G93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1722-7B3C-4E16-ADFB-CA3A66898CB8}">
  <dimension ref="A1:G42"/>
  <sheetViews>
    <sheetView tabSelected="1" workbookViewId="0">
      <selection activeCell="E11" sqref="E11"/>
    </sheetView>
  </sheetViews>
  <sheetFormatPr defaultRowHeight="12.75" x14ac:dyDescent="0.25"/>
  <cols>
    <col min="1" max="1" width="5.5703125" style="2" customWidth="1"/>
    <col min="2" max="2" width="7.7109375" style="2" customWidth="1"/>
    <col min="3" max="3" width="9" style="2" customWidth="1"/>
    <col min="4" max="4" width="9.140625" style="2"/>
    <col min="5" max="5" width="35.7109375" style="3" customWidth="1"/>
    <col min="6" max="6" width="41" style="3" customWidth="1"/>
    <col min="7" max="7" width="33" style="2" customWidth="1"/>
    <col min="8" max="16384" width="9.140625" style="3"/>
  </cols>
  <sheetData>
    <row r="1" spans="1:7" ht="13.5" thickBot="1" x14ac:dyDescent="0.3"/>
    <row r="2" spans="1:7" ht="25.5" x14ac:dyDescent="0.25">
      <c r="A2" s="4" t="s">
        <v>1</v>
      </c>
      <c r="B2" s="4" t="s">
        <v>5</v>
      </c>
      <c r="C2" s="4" t="s">
        <v>6</v>
      </c>
      <c r="D2" s="4" t="s">
        <v>4</v>
      </c>
      <c r="E2" s="4" t="s">
        <v>7</v>
      </c>
      <c r="F2" s="4" t="s">
        <v>8</v>
      </c>
      <c r="G2" s="4" t="s">
        <v>41</v>
      </c>
    </row>
    <row r="3" spans="1:7" ht="25.5" x14ac:dyDescent="0.25">
      <c r="A3" s="5">
        <v>1</v>
      </c>
      <c r="B3" s="19" t="s">
        <v>131</v>
      </c>
      <c r="C3" s="20" t="s">
        <v>123</v>
      </c>
      <c r="D3" s="19" t="s">
        <v>13</v>
      </c>
      <c r="E3" s="25" t="str">
        <f ca="1">IFERROR(__xludf.DUMMYFUNCTION("VLOOKUP($B7,FILTER('Kode Gejala + G44.0'!$B$2:$K$172, 'Kode Gejala + G44.0'!$K$2:$K$172&lt;&gt;""""),10,FALSE)"),"KOnsultasi rujukan;hidung masih mampet;pusing(+);sesak(+)")</f>
        <v>KOnsultasi rujukan;hidung masih mampet;pusing(+);sesak(+)</v>
      </c>
      <c r="F3" s="25" t="str">
        <f ca="1">IFERROR(__xludf.DUMMYFUNCTION("VLOOKUP($B7,FILTER('Kode Gejala + G44.0'!$B$2:$L$172, 'Kode Gejala + G44.0'!$L$2:$L$172&lt;&gt;""""),11,FALSE)"),"konsultasi rujukan;hidung masih mampet;pusing;sesak")</f>
        <v>konsultasi rujukan;hidung masih mampet;pusing;sesak</v>
      </c>
      <c r="G3" s="21" t="str">
        <f ca="1">IFERROR(__xludf.DUMMYFUNCTION("VLOOKUP($B7,FILTER('Kode Gejala + G44.0'!$B$2:$M$172, 'Kode Gejala + G44.0'!$M$2:$M$172&lt;&gt;""""),12,FALSE)"),"T,G611,G0,O")</f>
        <v>T,G611,G0,O</v>
      </c>
    </row>
    <row r="4" spans="1:7" ht="25.5" x14ac:dyDescent="0.25">
      <c r="A4" s="5">
        <v>2</v>
      </c>
      <c r="B4" s="19" t="s">
        <v>130</v>
      </c>
      <c r="C4" s="20" t="s">
        <v>122</v>
      </c>
      <c r="D4" s="22" t="s">
        <v>13</v>
      </c>
      <c r="E4" s="25" t="str">
        <f ca="1">IFERROR(__xludf.DUMMYFUNCTION("VLOOKUP($B8,FILTER('Kode Gejala + G44.0'!$B$2:$K$172, 'Kode Gejala + G44.0'!$K$2:$K$172&lt;&gt;""""),10,FALSE)"),"Pusing berputar(+);mual(+);muntah saat pusing;sejak lebaran kemaren")</f>
        <v>Pusing berputar(+);mual(+);muntah saat pusing;sejak lebaran kemaren</v>
      </c>
      <c r="F4" s="25" t="str">
        <f ca="1">IFERROR(__xludf.DUMMYFUNCTION("VLOOKUP($B8,FILTER('Kode Gejala + G44.0'!$B$2:$L$172, 'Kode Gejala + G44.0'!$L$2:$L$172&lt;&gt;""""),11,FALSE)"),"Pusing berputar;mual;muntah saat pusing;sejak lebaran kemarin")</f>
        <v>Pusing berputar;mual;muntah saat pusing;sejak lebaran kemarin</v>
      </c>
      <c r="G4" s="21" t="str">
        <f ca="1">IFERROR(__xludf.DUMMYFUNCTION("VLOOKUP($B8,FILTER('Kode Gejala + G44.0'!$B$2:$M$172, 'Kode Gejala + G44.0'!$M$2:$M$172&lt;&gt;""""),12,FALSE)"),"O,G61,G62,T")</f>
        <v>O,G61,G62,T</v>
      </c>
    </row>
    <row r="5" spans="1:7" ht="38.25" x14ac:dyDescent="0.25">
      <c r="A5" s="5">
        <v>3</v>
      </c>
      <c r="B5" s="19" t="s">
        <v>126</v>
      </c>
      <c r="C5" s="20" t="s">
        <v>146</v>
      </c>
      <c r="D5" s="22" t="s">
        <v>13</v>
      </c>
      <c r="E5" s="25" t="str">
        <f ca="1">IFERROR(__xludf.DUMMYFUNCTION("VLOOKUP($B11,FILTER('Kode Gejala + G44.0'!$B$2:$K$172, 'Kode Gejala + G44.0'!$K$2:$K$172&lt;&gt;""""),10,FALSE)"),"Nyeri kepala(+);badan meriang(+);mual(+);sejak 2 hr;alergi obat(-)")</f>
        <v>Nyeri kepala(+);badan meriang(+);mual(+);sejak 2 hr;alergi obat(-)</v>
      </c>
      <c r="F5" s="25" t="str">
        <f ca="1">IFERROR(__xludf.DUMMYFUNCTION("VLOOKUP($B11,FILTER('Kode Gejala + G44.0'!$B$2:$L$172, 'Kode Gejala + G44.0'!$L$2:$L$172&lt;&gt;""""),11,FALSE)"),"nyeri kepala;badan meriang;mual;sejak 2 hari;alergi obat nihil")</f>
        <v>nyeri kepala;badan meriang;mual;sejak 2 hari;alergi obat nihil</v>
      </c>
      <c r="G5" s="21" t="str">
        <f ca="1">IFERROR(__xludf.DUMMYFUNCTION("VLOOKUP($B11,FILTER('Kode Gejala + G44.0'!$B$2:$M$172, 'Kode Gejala + G44.0'!$M$2:$M$172&lt;&gt;""""),12,FALSE)"),"G0,O,G61,G52,T")</f>
        <v>G0,O,G61,G52,T</v>
      </c>
    </row>
    <row r="6" spans="1:7" ht="25.5" x14ac:dyDescent="0.25">
      <c r="A6" s="5">
        <v>4</v>
      </c>
      <c r="B6" s="26" t="s">
        <v>122</v>
      </c>
      <c r="C6" s="27" t="s">
        <v>107</v>
      </c>
      <c r="D6" s="28" t="s">
        <v>13</v>
      </c>
      <c r="E6" s="29" t="str">
        <f ca="1">IFERROR(__xludf.DUMMYFUNCTION("VLOOKUP($B13,FILTER('Kode Gejala + G44.0'!$B$2:$K$172, 'Kode Gejala + G44.0'!$K$2:$K$172&lt;&gt;""""),10,FALSE)"),"pusing sebelah kiri;sejak kemaren;tengkuk bahu terasa kaku")</f>
        <v>pusing sebelah kiri;sejak kemaren;tengkuk bahu terasa kaku</v>
      </c>
      <c r="F6" s="29" t="str">
        <f ca="1">IFERROR(__xludf.DUMMYFUNCTION("VLOOKUP($B13,FILTER('Kode Gejala + G44.0'!$B$2:$L$172, 'Kode Gejala + G44.0'!$L$2:$L$172&lt;&gt;""""),11,FALSE)"),"pusing sebelah kiri;sejak kemarin;tengkuk bahu terasa kaku")</f>
        <v>pusing sebelah kiri;sejak kemarin;tengkuk bahu terasa kaku</v>
      </c>
      <c r="G6" s="30" t="str">
        <f ca="1">IFERROR(__xludf.DUMMYFUNCTION("VLOOKUP($B13,FILTER('Kode Gejala + G44.0'!$B$2:$M$172, 'Kode Gejala + G44.0'!$M$2:$M$172&lt;&gt;""""),12,FALSE)"),"G23,G52,G614")</f>
        <v>G23,G52,G614</v>
      </c>
    </row>
    <row r="7" spans="1:7" ht="25.5" x14ac:dyDescent="0.25">
      <c r="A7" s="5">
        <v>5</v>
      </c>
      <c r="B7" s="19" t="s">
        <v>113</v>
      </c>
      <c r="C7" s="20" t="s">
        <v>99</v>
      </c>
      <c r="D7" s="22" t="s">
        <v>13</v>
      </c>
      <c r="E7" s="25" t="str">
        <f ca="1">IFERROR(__xludf.DUMMYFUNCTION("VLOOKUP($B16,FILTER('Kode Gejala + G44.0'!$B$2:$K$172, 'Kode Gejala + G44.0'!$K$2:$K$172&lt;&gt;""""),10,FALSE)"),"Pusing(+);terasa tdk nyaman di badan;tengkiuk terasa kaku")</f>
        <v>Pusing(+);terasa tdk nyaman di badan;tengkiuk terasa kaku</v>
      </c>
      <c r="F7" s="25" t="str">
        <f ca="1">IFERROR(__xludf.DUMMYFUNCTION("VLOOKUP($B16,FILTER('Kode Gejala + G44.0'!$B$2:$L$172, 'Kode Gejala + G44.0'!$L$2:$L$172&lt;&gt;""""),11,FALSE)"),"Pusing;terasa tidak nyaman di badan;tengkuk terasa kaku")</f>
        <v>Pusing;terasa tidak nyaman di badan;tengkuk terasa kaku</v>
      </c>
      <c r="G7" s="21" t="str">
        <f ca="1">IFERROR(__xludf.DUMMYFUNCTION("VLOOKUP($B16,FILTER('Kode Gejala + G44.0'!$B$2:$M$172, 'Kode Gejala + G44.0'!$M$2:$M$172&lt;&gt;""""),12,FALSE)"),"G0,O,G614")</f>
        <v>G0,O,G614</v>
      </c>
    </row>
    <row r="8" spans="1:7" ht="76.5" x14ac:dyDescent="0.25">
      <c r="A8" s="5">
        <v>6</v>
      </c>
      <c r="B8" s="19" t="s">
        <v>146</v>
      </c>
      <c r="C8" s="20" t="s">
        <v>98</v>
      </c>
      <c r="D8" s="22" t="s">
        <v>13</v>
      </c>
      <c r="E8" s="25" t="str">
        <f ca="1">IFERROR(__xludf.DUMMYFUNCTION("VLOOKUP($B17,FILTER('Kode Gejala + G44.0'!$B$2:$K$172, 'Kode Gejala + G44.0'!$K$2:$K$172&lt;&gt;""""),10,FALSE)"),"Tengkuk terasa kaku , tegang;resume dr RS Srdjito diangnosa Migrainosisi;IGD 2x;20,8;elicaf 2dd1;anatak 2dd1;mecobilamid 2dd 500 mg;Dx migrain;reflek patologi (-);IGD 30 sept 2019")</f>
        <v>Tengkuk terasa kaku , tegang;resume dr RS Srdjito diangnosa Migrainosisi;IGD 2x;20,8;elicaf 2dd1;anatak 2dd1;mecobilamid 2dd 500 mg;Dx migrain;reflek patologi (-);IGD 30 sept 2019</v>
      </c>
      <c r="F8" s="25" t="str">
        <f ca="1">IFERROR(__xludf.DUMMYFUNCTION("VLOOKUP($B17,FILTER('Kode Gejala + G44.0'!$B$2:$L$172, 'Kode Gejala + G44.0'!$L$2:$L$172&lt;&gt;""""),11,FALSE)"),"tengkuk terasa kaku, tegang;resume dari RS Sardjito diangnosa Migrainosisi;IGD 2 kali;20.8;elicaf 2dd1;anatak 2dd1;mecobilamid 2dd 500 mg;dx migrain;reflek patologi nihil;IGD 30 september 2019")</f>
        <v>tengkuk terasa kaku, tegang;resume dari RS Sardjito diangnosa Migrainosisi;IGD 2 kali;20.8;elicaf 2dd1;anatak 2dd1;mecobilamid 2dd 500 mg;dx migrain;reflek patologi nihil;IGD 30 september 2019</v>
      </c>
      <c r="G8" s="21" t="str">
        <f ca="1">IFERROR(__xludf.DUMMYFUNCTION("VLOOKUP($B17,FILTER('Kode Gejala + G44.0'!$B$2:$M$172, 'Kode Gejala + G44.0'!$M$2:$M$172&lt;&gt;""""),12,FALSE)"),"G614,G11,G43,O,G11,G11,G11,G23,O,G43")</f>
        <v>G614,G11,G43,O,G11,G11,G11,G23,O,G43</v>
      </c>
    </row>
    <row r="9" spans="1:7" ht="51" x14ac:dyDescent="0.25">
      <c r="A9" s="5">
        <v>7</v>
      </c>
      <c r="B9" s="19" t="s">
        <v>109</v>
      </c>
      <c r="C9" s="20" t="s">
        <v>96</v>
      </c>
      <c r="D9" s="19" t="s">
        <v>13</v>
      </c>
      <c r="E9" s="25" t="str">
        <f ca="1">IFERROR(__xludf.DUMMYFUNCTION("VLOOKUP($B18,FILTER('Kode Gejala + G44.0'!$B$2:$K$172, 'Kode Gejala + G44.0'!$K$2:$K$172&lt;&gt;""""),10,FALSE)"),"pusing di daerah dahi sekitar mata;dan pusing dimkepala bagian belakang kanan;+-7hari;riwayat visus -0,75 dan -0,25;mual +;sensitive cahaya;alergi obat -")</f>
        <v>pusing di daerah dahi sekitar mata;dan pusing dimkepala bagian belakang kanan;+-7hari;riwayat visus -0,75 dan -0,25;mual +;sensitive cahaya;alergi obat -</v>
      </c>
      <c r="F9" s="25" t="str">
        <f ca="1">IFERROR(__xludf.DUMMYFUNCTION("VLOOKUP($B18,FILTER('Kode Gejala + G44.0'!$B$2:$L$172, 'Kode Gejala + G44.0'!$L$2:$L$172&lt;&gt;""""),11,FALSE)"),"pusing di daerah dahi sekitar mata;dan pusing di kepala bagian belakang kanan;kurang lebih 7 hari;riwayat visus minus 0.75 dan minus 0.25;mual;sensitif cahaya;alergi obat nihil")</f>
        <v>pusing di daerah dahi sekitar mata;dan pusing di kepala bagian belakang kanan;kurang lebih 7 hari;riwayat visus minus 0.75 dan minus 0.25;mual;sensitif cahaya;alergi obat nihil</v>
      </c>
      <c r="G9" s="21" t="str">
        <f ca="1">IFERROR(__xludf.DUMMYFUNCTION("VLOOKUP($B18,FILTER('Kode Gejala + G44.0'!$B$2:$M$172, 'Kode Gejala + G44.0'!$M$2:$M$172&lt;&gt;""""),12,FALSE)"),"G24,G23,G31,O,G61,G64,T")</f>
        <v>G24,G23,G31,O,G61,G64,T</v>
      </c>
    </row>
    <row r="10" spans="1:7" ht="63.75" x14ac:dyDescent="0.25">
      <c r="A10" s="5">
        <v>8</v>
      </c>
      <c r="B10" s="19" t="s">
        <v>99</v>
      </c>
      <c r="C10" s="20" t="s">
        <v>91</v>
      </c>
      <c r="D10" s="22" t="s">
        <v>13</v>
      </c>
      <c r="E10" s="25" t="str">
        <f ca="1">IFERROR(__xludf.DUMMYFUNCTION("VLOOKUP($B22,FILTER('Kode Gejala + G44.0'!$B$2:$K$172, 'Kode Gejala + G44.0'!$K$2:$K$172&lt;&gt;""""),10,FALSE)"),"nyeri kepala berdenyut(+);2 bln;bengkak telinga kanan di sertai nyeri (+);sdh periksa Rs Hidayatullah di beri obat;blm sembuh;pilek (+);batuk (+);telinga kanan bengkak;nyeri (+);alergi obat (-)")</f>
        <v>nyeri kepala berdenyut(+);2 bln;bengkak telinga kanan di sertai nyeri (+);sdh periksa Rs Hidayatullah di beri obat;blm sembuh;pilek (+);batuk (+);telinga kanan bengkak;nyeri (+);alergi obat (-)</v>
      </c>
      <c r="F10" s="25" t="str">
        <f ca="1">IFERROR(__xludf.DUMMYFUNCTION("VLOOKUP($B22,FILTER('Kode Gejala + G44.0'!$B$2:$L$172, 'Kode Gejala + G44.0'!$L$2:$L$172&lt;&gt;""""),11,FALSE)"),"nyeri kepala berdenyut;2 bulan;bengkak telinga kanan disertai nyeri;sudah periksa RS hidayatullah diberi obat;belum sembuh;pilek;batuk;telinga kanan bengkak;nyeri;alergi obat nihil")</f>
        <v>nyeri kepala berdenyut;2 bulan;bengkak telinga kanan disertai nyeri;sudah periksa RS hidayatullah diberi obat;belum sembuh;pilek;batuk;telinga kanan bengkak;nyeri;alergi obat nihil</v>
      </c>
      <c r="G10" s="21" t="str">
        <f ca="1">IFERROR(__xludf.DUMMYFUNCTION("VLOOKUP($B22,FILTER('Kode Gejala + G44.0'!$B$2:$M$172, 'Kode Gejala + G44.0'!$M$2:$M$172&lt;&gt;""""),12,FALSE)"),"G11,G32,O,T,T,G612,O,O,O,T")</f>
        <v>G11,G32,O,T,T,G612,O,O,O,T</v>
      </c>
    </row>
    <row r="11" spans="1:7" ht="51" x14ac:dyDescent="0.25">
      <c r="A11" s="5">
        <v>9</v>
      </c>
      <c r="B11" s="19" t="s">
        <v>96</v>
      </c>
      <c r="C11" s="20" t="s">
        <v>83</v>
      </c>
      <c r="D11" s="22" t="s">
        <v>13</v>
      </c>
      <c r="E11" s="25" t="str">
        <f ca="1">IFERROR(__xludf.DUMMYFUNCTION("VLOOKUP($B24,FILTER('Kode Gejala + G44.0'!$B$2:$K$172, 'Kode Gejala + G44.0'!$K$2:$K$172&lt;&gt;""""),10,FALSE)"),"Mata kiri terasa nyeri(+);kemerahan (-);Penglihatan normal(+);3 hari pusing;mkn perih(-);gatal (-);kotoran mata (-)")</f>
        <v>Mata kiri terasa nyeri(+);kemerahan (-);Penglihatan normal(+);3 hari pusing;mkn perih(-);gatal (-);kotoran mata (-)</v>
      </c>
      <c r="F11" s="25" t="str">
        <f ca="1">IFERROR(__xludf.DUMMYFUNCTION("VLOOKUP($B24,FILTER('Kode Gejala + G44.0'!$B$2:$L$172, 'Kode Gejala + G44.0'!$L$2:$L$172&lt;&gt;""""),11,FALSE)"),"Mata kiri terasa nyeri;kemerahan nihil;penglihatan normal;3 hari pusing;makan perih nihil;gatal nihil;kotoran mata nihil")</f>
        <v>Mata kiri terasa nyeri;kemerahan nihil;penglihatan normal;3 hari pusing;makan perih nihil;gatal nihil;kotoran mata nihil</v>
      </c>
      <c r="G11" s="21" t="str">
        <f ca="1">IFERROR(__xludf.DUMMYFUNCTION("VLOOKUP($B24,FILTER('Kode Gejala + G44.0'!$B$2:$M$172, 'Kode Gejala + G44.0'!$M$2:$M$172&lt;&gt;""""),12,FALSE)"),"G24,O,XG64,G0,O,O,O")</f>
        <v>G24,O,XG64,G0,O,O,O</v>
      </c>
    </row>
    <row r="12" spans="1:7" x14ac:dyDescent="0.25">
      <c r="A12" s="5">
        <v>10</v>
      </c>
      <c r="B12" s="19" t="s">
        <v>81</v>
      </c>
      <c r="C12" s="19" t="s">
        <v>137</v>
      </c>
      <c r="D12" s="22" t="s">
        <v>46</v>
      </c>
      <c r="E12" s="25" t="str">
        <f ca="1">IFERROR(__xludf.DUMMYFUNCTION("VLOOKUP($B31,FILTER('Kode Gejala + G44.2'!$B$2:$K$229, 'Kode Gejala + G44.2'!$K$2:$K$229&lt;&gt;""""),10,FALSE)"),"tengku terasa kenceng2;pusing")</f>
        <v>tengku terasa kenceng2;pusing</v>
      </c>
      <c r="F12" s="31" t="str">
        <f ca="1">IFERROR(__xludf.DUMMYFUNCTION("VLOOKUP($B31,FILTER('Kode Gejala + G44.2'!$B$2:$L$229, 'Kode Gejala + G44.2'!$L$2:$L$229&lt;&gt;""""),11,FALSE)"),"tengkuk terasa kenceng kenceng;pusing")</f>
        <v>tengkuk terasa kenceng kenceng;pusing</v>
      </c>
      <c r="G12" s="21" t="str">
        <f ca="1">IFERROR(__xludf.DUMMYFUNCTION("VLOOKUP($B31,FILTER('Kode Gejala + G44.2'!$B$2:$M$229, 'Kode Gejala + G44.2'!$M$2:$M$229&lt;&gt;""""),12,FALSE)"),"G614,G0")</f>
        <v>G614,G0</v>
      </c>
    </row>
    <row r="13" spans="1:7" ht="25.5" x14ac:dyDescent="0.25">
      <c r="A13" s="5">
        <v>11</v>
      </c>
      <c r="B13" s="19" t="s">
        <v>78</v>
      </c>
      <c r="C13" s="19" t="s">
        <v>136</v>
      </c>
      <c r="D13" s="19" t="s">
        <v>46</v>
      </c>
      <c r="E13" s="25" t="str">
        <f ca="1">IFERROR(__xludf.DUMMYFUNCTION("VLOOKUP($B32,FILTER('Kode Gejala + G44.2'!$B$2:$K$229, 'Kode Gejala + G44.2'!$K$2:$K$229&lt;&gt;""""),10,FALSE)"),"pusing;jantung berdebar;kadang ulu hati nyeri jika terlambat makan")</f>
        <v>pusing;jantung berdebar;kadang ulu hati nyeri jika terlambat makan</v>
      </c>
      <c r="F13" s="31" t="str">
        <f ca="1">IFERROR(__xludf.DUMMYFUNCTION("VLOOKUP($B32,FILTER('Kode Gejala + G44.2'!$B$2:$L$229, 'Kode Gejala + G44.2'!$L$2:$L$229&lt;&gt;""""),11,FALSE)"),"pusing;jantung berdebar;kadang ulu hati nyeri jika terlambat makan")</f>
        <v>pusing;jantung berdebar;kadang ulu hati nyeri jika terlambat makan</v>
      </c>
      <c r="G13" s="21" t="str">
        <f ca="1">IFERROR(__xludf.DUMMYFUNCTION("VLOOKUP($B32,FILTER('Kode Gejala + G44.2'!$B$2:$M$229, 'Kode Gejala + G44.2'!$M$2:$M$229&lt;&gt;""""),12,FALSE)"),"G0,O,G93")</f>
        <v>G0,O,G93</v>
      </c>
    </row>
    <row r="14" spans="1:7" x14ac:dyDescent="0.25">
      <c r="A14" s="5">
        <v>12</v>
      </c>
      <c r="B14" s="19" t="s">
        <v>74</v>
      </c>
      <c r="C14" s="19" t="s">
        <v>135</v>
      </c>
      <c r="D14" s="22" t="s">
        <v>46</v>
      </c>
      <c r="E14" s="25" t="str">
        <f ca="1">IFERROR(__xludf.DUMMYFUNCTION("VLOOKUP($B33,FILTER('Kode Gejala + G44.2'!$B$2:$K$229, 'Kode Gejala + G44.2'!$K$2:$K$229&lt;&gt;""""),10,FALSE)"),"Pusing(+);mual(-);muntah")</f>
        <v>Pusing(+);mual(-);muntah</v>
      </c>
      <c r="F14" s="31" t="str">
        <f ca="1">IFERROR(__xludf.DUMMYFUNCTION("VLOOKUP($B33,FILTER('Kode Gejala + G44.2'!$B$2:$L$229, 'Kode Gejala + G44.2'!$L$2:$L$229&lt;&gt;""""),11,FALSE)"),"Pusing;mual nihil;muntah")</f>
        <v>Pusing;mual nihil;muntah</v>
      </c>
      <c r="G14" s="21" t="str">
        <f ca="1">IFERROR(__xludf.DUMMYFUNCTION("VLOOKUP($B33,FILTER('Kode Gejala + G44.2'!$B$2:$M$229, 'Kode Gejala + G44.2'!$M$2:$M$229&lt;&gt;""""),12,FALSE)"),"G0,XG61,G62")</f>
        <v>G0,XG61,G62</v>
      </c>
    </row>
    <row r="15" spans="1:7" x14ac:dyDescent="0.25">
      <c r="A15" s="5">
        <v>13</v>
      </c>
      <c r="B15" s="19" t="s">
        <v>67</v>
      </c>
      <c r="C15" s="19" t="s">
        <v>133</v>
      </c>
      <c r="D15" s="19" t="s">
        <v>46</v>
      </c>
      <c r="E15" s="25" t="str">
        <f ca="1">IFERROR(__xludf.DUMMYFUNCTION("VLOOKUP($B34,FILTER('Kode Gejala + G44.2'!$B$2:$K$229, 'Kode Gejala + G44.2'!$K$2:$K$229&lt;&gt;""""),10,FALSE)"),"Pusing;pilek;batuk")</f>
        <v>Pusing;pilek;batuk</v>
      </c>
      <c r="F15" s="31" t="str">
        <f ca="1">IFERROR(__xludf.DUMMYFUNCTION("VLOOKUP($B34,FILTER('Kode Gejala + G44.2'!$B$2:$L$229, 'Kode Gejala + G44.2'!$L$2:$L$229&lt;&gt;""""),11,FALSE)"),"Pusing;pilek;batuk")</f>
        <v>Pusing;pilek;batuk</v>
      </c>
      <c r="G15" s="21" t="str">
        <f ca="1">IFERROR(__xludf.DUMMYFUNCTION("VLOOKUP($B34,FILTER('Kode Gejala + G44.2'!$B$2:$M$229, 'Kode Gejala + G44.2'!$M$2:$M$229&lt;&gt;""""),12,FALSE)"),"G0,G612,O")</f>
        <v>G0,G612,O</v>
      </c>
    </row>
    <row r="16" spans="1:7" ht="38.25" x14ac:dyDescent="0.25">
      <c r="A16" s="5">
        <v>14</v>
      </c>
      <c r="B16" s="19" t="s">
        <v>44</v>
      </c>
      <c r="C16" s="19" t="s">
        <v>126</v>
      </c>
      <c r="D16" s="22" t="s">
        <v>46</v>
      </c>
      <c r="E16" s="25" t="str">
        <f ca="1">IFERROR(__xludf.DUMMYFUNCTION("VLOOKUP($B39,FILTER('Kode Gejala + G44.2'!$B$2:$K$229, 'Kode Gejala + G44.2'!$K$2:$K$229&lt;&gt;""""),10,FALSE)"),"Kepala terasa pusing (+);Leher terasa kaku (+);Mual Muntah (-);+-1hari riwayat magh (-)")</f>
        <v>Kepala terasa pusing (+);Leher terasa kaku (+);Mual Muntah (-);+-1hari riwayat magh (-)</v>
      </c>
      <c r="F16" s="31" t="str">
        <f ca="1">IFERROR(__xludf.DUMMYFUNCTION("VLOOKUP($B39,FILTER('Kode Gejala + G44.2'!$B$2:$L$229, 'Kode Gejala + G44.2'!$L$2:$L$229&lt;&gt;""""),11,FALSE)"),"kepala terasa pusing;leher terasa kaku;Mual Muntah nihil;kurang lebih 1 hari riwayat magh nihil")</f>
        <v>kepala terasa pusing;leher terasa kaku;Mual Muntah nihil;kurang lebih 1 hari riwayat magh nihil</v>
      </c>
      <c r="G16" s="21" t="str">
        <f ca="1">IFERROR(__xludf.DUMMYFUNCTION("VLOOKUP($B39,FILTER('Kode Gejala + G44.2'!$B$2:$M$229, 'Kode Gejala + G44.2'!$M$2:$M$229&lt;&gt;""""),12,FALSE)"),"G0,G614,XG61,O")</f>
        <v>G0,G614,XG61,O</v>
      </c>
    </row>
    <row r="17" spans="1:7" ht="63.75" x14ac:dyDescent="0.25">
      <c r="A17" s="5">
        <v>15</v>
      </c>
      <c r="B17" s="19" t="s">
        <v>177</v>
      </c>
      <c r="C17" s="19" t="s">
        <v>123</v>
      </c>
      <c r="D17" s="19" t="s">
        <v>46</v>
      </c>
      <c r="E17" s="25" t="str">
        <f ca="1">IFERROR(__xludf.DUMMYFUNCTION("VLOOKUP($B40,FILTER('Kode Gejala + G44.2'!$B$2:$K$229, 'Kode Gejala + G44.2'!$K$2:$K$229&lt;&gt;""""),10,FALSE)"),"Kepala terasa sakit (+);pusing (+);berputar (-);badan terasa lemes (+);demam(-);batuk (-);pilek(-);sesak 3 hr;tengkuk cengeng(-);cekot2 (+);mual(-);muntah(-);Rw magh (-)")</f>
        <v>Kepala terasa sakit (+);pusing (+);berputar (-);badan terasa lemes (+);demam(-);batuk (-);pilek(-);sesak 3 hr;tengkuk cengeng(-);cekot2 (+);mual(-);muntah(-);Rw magh (-)</v>
      </c>
      <c r="F17" s="31" t="str">
        <f ca="1">IFERROR(__xludf.DUMMYFUNCTION("VLOOKUP($B40,FILTER('Kode Gejala + G44.2'!$B$2:$L$229, 'Kode Gejala + G44.2'!$L$2:$L$229&lt;&gt;""""),11,FALSE)"),"Kepala terasa sakit;pusing;berputar nihil;badan terasa lemes;demam nihil;batuk nihil;pilek nihil;sesak 3 hari;tengkuk cengeng nihil;cekot cekot;mual nihil;muntah nihil;riwayat magh nihil")</f>
        <v>Kepala terasa sakit;pusing;berputar nihil;badan terasa lemes;demam nihil;batuk nihil;pilek nihil;sesak 3 hari;tengkuk cengeng nihil;cekot cekot;mual nihil;muntah nihil;riwayat magh nihil</v>
      </c>
      <c r="G17" s="21" t="str">
        <f ca="1">IFERROR(__xludf.DUMMYFUNCTION("VLOOKUP($B40,FILTER('Kode Gejala + G44.2'!$B$2:$M$229, 'Kode Gejala + G44.2'!$M$2:$M$229&lt;&gt;""""),12,FALSE)"),"G0,G0,O,O,O,O,XG612,O,XG614,G11,XG61,XG62,O")</f>
        <v>G0,G0,O,O,O,O,XG612,O,XG614,G11,XG61,XG62,O</v>
      </c>
    </row>
    <row r="18" spans="1:7" ht="63.75" x14ac:dyDescent="0.25">
      <c r="A18" s="5">
        <v>16</v>
      </c>
      <c r="B18" s="19" t="s">
        <v>180</v>
      </c>
      <c r="C18" s="19" t="s">
        <v>122</v>
      </c>
      <c r="D18" s="22" t="s">
        <v>46</v>
      </c>
      <c r="E18" s="25" t="str">
        <f ca="1">IFERROR(__xludf.DUMMYFUNCTION("VLOOKUP($B41,FILTER('Kode Gejala + G44.2'!$B$2:$K$229, 'Kode Gejala + G44.2'!$K$2:$K$229&lt;&gt;""""),10,FALSE)"),"Nyeri kepala (+) berputar;Mual (+);Muntah (-);Nyeri lambung (+);Diare (-);Batuk (-);Dada terasa sesak (+);panas perih;surat ket sakit (+);pahit kecut dilidah (+);Alergi analsix (+)")</f>
        <v>Nyeri kepala (+) berputar;Mual (+);Muntah (-);Nyeri lambung (+);Diare (-);Batuk (-);Dada terasa sesak (+);panas perih;surat ket sakit (+);pahit kecut dilidah (+);Alergi analsix (+)</v>
      </c>
      <c r="F18" s="31" t="str">
        <f ca="1">IFERROR(__xludf.DUMMYFUNCTION("VLOOKUP($B41,FILTER('Kode Gejala + G44.2'!$B$2:$L$229, 'Kode Gejala + G44.2'!$L$2:$L$229&lt;&gt;""""),11,FALSE)"),"Nyeri kepala berputar;Mual;Muntah nihil;nyeri lambung;diare nihil;Batuk nihil;dada terasa sesak;panas perih;surat keterangan sakit;pahit kecut di lidah;alergi analsix")</f>
        <v>Nyeri kepala berputar;Mual;Muntah nihil;nyeri lambung;diare nihil;Batuk nihil;dada terasa sesak;panas perih;surat keterangan sakit;pahit kecut di lidah;alergi analsix</v>
      </c>
      <c r="G18" s="21" t="str">
        <f ca="1">IFERROR(__xludf.DUMMYFUNCTION("VLOOKUP($B41,FILTER('Kode Gejala + G44.2'!$B$2:$M$229, 'Kode Gejala + G44.2'!$M$2:$M$229&lt;&gt;""""),12,FALSE)"),"O,G61,XG62,G93,O,O,O,G93,T,O,T")</f>
        <v>O,G61,XG62,G93,O,O,O,G93,T,O,T</v>
      </c>
    </row>
    <row r="19" spans="1:7" ht="25.5" x14ac:dyDescent="0.25">
      <c r="A19" s="5">
        <v>17</v>
      </c>
      <c r="B19" s="19" t="s">
        <v>114</v>
      </c>
      <c r="C19" s="19" t="s">
        <v>113</v>
      </c>
      <c r="D19" s="22" t="s">
        <v>46</v>
      </c>
      <c r="E19" s="25" t="str">
        <f ca="1">IFERROR(__xludf.DUMMYFUNCTION("VLOOKUP($B44,FILTER('Kode Gejala + G44.2'!$B$2:$K$229, 'Kode Gejala + G44.2'!$K$2:$K$229&lt;&gt;""""),10,FALSE)"),"Telinga berdering (+);Nyeri (-);Pusing (+) +-1minggu;Mual (+)")</f>
        <v>Telinga berdering (+);Nyeri (-);Pusing (+) +-1minggu;Mual (+)</v>
      </c>
      <c r="F19" s="31" t="str">
        <f ca="1">IFERROR(__xludf.DUMMYFUNCTION("VLOOKUP($B44,FILTER('Kode Gejala + G44.2'!$B$2:$L$229, 'Kode Gejala + G44.2'!$L$2:$L$229&lt;&gt;""""),11,FALSE)"),"Telinga berdering;Nyeri nihil;Pusing kurang lebih 1 minggu;mual")</f>
        <v>Telinga berdering;Nyeri nihil;Pusing kurang lebih 1 minggu;mual</v>
      </c>
      <c r="G19" s="21" t="str">
        <f ca="1">IFERROR(__xludf.DUMMYFUNCTION("VLOOKUP($B44,FILTER('Kode Gejala + G44.2'!$B$2:$M$229, 'Kode Gejala + G44.2'!$M$2:$M$229&lt;&gt;""""),12,FALSE)"),"O,O,G51,G61")</f>
        <v>O,O,G51,G61</v>
      </c>
    </row>
    <row r="20" spans="1:7" ht="63.75" x14ac:dyDescent="0.25">
      <c r="A20" s="5">
        <v>18</v>
      </c>
      <c r="B20" s="19" t="s">
        <v>110</v>
      </c>
      <c r="C20" s="19" t="s">
        <v>109</v>
      </c>
      <c r="D20" s="19" t="s">
        <v>46</v>
      </c>
      <c r="E20" s="25" t="str">
        <f ca="1">IFERROR(__xludf.DUMMYFUNCTION("VLOOKUP($B45,FILTER('Kode Gejala + G44.2'!$B$2:$K$229, 'Kode Gejala + G44.2'!$K$2:$K$229&lt;&gt;""""),10,FALSE)"),"nyeri kepala sebelah;+-1minggu;mual (-);batuk sedikit (+);cek asam urat, kolesterol, gula darah;perut perih (+);panas (+);dada kurang nyaman (+);mulut pahit (+)")</f>
        <v>nyeri kepala sebelah;+-1minggu;mual (-);batuk sedikit (+);cek asam urat, kolesterol, gula darah;perut perih (+);panas (+);dada kurang nyaman (+);mulut pahit (+)</v>
      </c>
      <c r="F20" s="31" t="str">
        <f ca="1">IFERROR(__xludf.DUMMYFUNCTION("VLOOKUP($B45,FILTER('Kode Gejala + G44.2'!$B$2:$L$229, 'Kode Gejala + G44.2'!$L$2:$L$229&lt;&gt;""""),11,FALSE)"),"nyeri kepala sebelah;kurang lebih 1 minggu;mual nihil;batuk sedikit;cek asam urat, kolesterol, gula darah;perut perih;panas;dada kurang nyaman;mulut pahit")</f>
        <v>nyeri kepala sebelah;kurang lebih 1 minggu;mual nihil;batuk sedikit;cek asam urat, kolesterol, gula darah;perut perih;panas;dada kurang nyaman;mulut pahit</v>
      </c>
      <c r="G20" s="21" t="str">
        <f ca="1">IFERROR(__xludf.DUMMYFUNCTION("VLOOKUP($B45,FILTER('Kode Gejala + G44.2'!$B$2:$M$229, 'Kode Gejala + G44.2'!$M$2:$M$229&lt;&gt;""""),12,FALSE)"),"G23,G51,XG61,O,T,O,O,O,O")</f>
        <v>G23,G51,XG61,O,T,O,O,O,O</v>
      </c>
    </row>
    <row r="21" spans="1:7" ht="63.75" x14ac:dyDescent="0.25">
      <c r="A21" s="5">
        <v>19</v>
      </c>
      <c r="B21" s="19" t="s">
        <v>108</v>
      </c>
      <c r="C21" s="19" t="s">
        <v>107</v>
      </c>
      <c r="D21" s="22" t="s">
        <v>46</v>
      </c>
      <c r="E21" s="25" t="str">
        <f ca="1">IFERROR(__xludf.DUMMYFUNCTION("VLOOKUP($B46,FILTER('Kode Gejala + G44.2'!$B$2:$K$229, 'Kode Gejala + G44.2'!$K$2:$K$229&lt;&gt;""""),10,FALSE)"),"sakit kepala (+);mual muntah (-);nyeri kepala saat sujud sholat (+);+-3hari;terasa berat (+);minum simvastatin;kesemutan di tangan kaki terutama bangun tidur (+)")</f>
        <v>sakit kepala (+);mual muntah (-);nyeri kepala saat sujud sholat (+);+-3hari;terasa berat (+);minum simvastatin;kesemutan di tangan kaki terutama bangun tidur (+)</v>
      </c>
      <c r="F21" s="31" t="str">
        <f ca="1">IFERROR(__xludf.DUMMYFUNCTION("VLOOKUP($B46,FILTER('Kode Gejala + G44.2'!$B$2:$L$229, 'Kode Gejala + G44.2'!$L$2:$L$229&lt;&gt;""""),11,FALSE)"),"sakit kepala;mual muntah nihil;nyeri kepala saat sujud sholat;kurang lebih 3 hari;terasa berat;minum simvastatin;kesemutan di tangan kaki terutama bangun tidur")</f>
        <v>sakit kepala;mual muntah nihil;nyeri kepala saat sujud sholat;kurang lebih 3 hari;terasa berat;minum simvastatin;kesemutan di tangan kaki terutama bangun tidur</v>
      </c>
      <c r="G21" s="21" t="str">
        <f ca="1">IFERROR(__xludf.DUMMYFUNCTION("VLOOKUP($B46,FILTER('Kode Gejala + G44.2'!$B$2:$M$229, 'Kode Gejala + G44.2'!$M$2:$M$229&lt;&gt;""""),12,FALSE)"),"G0,XG61,G71,G52,G43,T,O")</f>
        <v>G0,XG61,G71,G52,G43,T,O</v>
      </c>
    </row>
    <row r="22" spans="1:7" ht="51" x14ac:dyDescent="0.25">
      <c r="A22" s="5">
        <v>20</v>
      </c>
      <c r="B22" s="19" t="s">
        <v>102</v>
      </c>
      <c r="C22" s="19" t="s">
        <v>101</v>
      </c>
      <c r="D22" s="19" t="s">
        <v>46</v>
      </c>
      <c r="E22" s="25" t="str">
        <f ca="1">IFERROR(__xludf.DUMMYFUNCTION("VLOOKUP($B48,FILTER('Kode Gejala + G44.2'!$B$2:$K$229, 'Kode Gejala + G44.2'!$K$2:$K$229&lt;&gt;""""),10,FALSE)"),"kepala kadang sakit (+);kepala terasa berat (+);dan susah tidur (+);keluhan hilang timbul sejak 2 minggu ini;semalam minum mertigo")</f>
        <v>kepala kadang sakit (+);kepala terasa berat (+);dan susah tidur (+);keluhan hilang timbul sejak 2 minggu ini;semalam minum mertigo</v>
      </c>
      <c r="F22" s="31" t="str">
        <f ca="1">IFERROR(__xludf.DUMMYFUNCTION("VLOOKUP($B48,FILTER('Kode Gejala + G44.2'!$B$2:$L$229, 'Kode Gejala + G44.2'!$L$2:$L$229&lt;&gt;""""),11,FALSE)"),"kepala kadang sakit;kepala terasa berat;dan susah tidur;keluhan hilang timbul sejak 2 minggu ini;semalam minum mertigo")</f>
        <v>kepala kadang sakit;kepala terasa berat;dan susah tidur;keluhan hilang timbul sejak 2 minggu ini;semalam minum mertigo</v>
      </c>
      <c r="G22" s="21" t="str">
        <f ca="1">IFERROR(__xludf.DUMMYFUNCTION("VLOOKUP($B48,FILTER('Kode Gejala + G44.2'!$B$2:$M$229, 'Kode Gejala + G44.2'!$M$2:$M$229&lt;&gt;""""),12,FALSE)"),"G34,G13,G68,G31,T")</f>
        <v>G34,G13,G68,G31,T</v>
      </c>
    </row>
    <row r="23" spans="1:7" ht="38.25" x14ac:dyDescent="0.25">
      <c r="A23" s="5">
        <v>21</v>
      </c>
      <c r="B23" s="19" t="s">
        <v>183</v>
      </c>
      <c r="C23" s="19" t="s">
        <v>98</v>
      </c>
      <c r="D23" s="22" t="s">
        <v>46</v>
      </c>
      <c r="E23" s="25" t="str">
        <f ca="1">IFERROR(__xludf.DUMMYFUNCTION("VLOOKUP($B50,FILTER('Kode Gejala + G44.2'!$B$2:$K$229, 'Kode Gejala + G44.2'!$K$2:$K$229&lt;&gt;""""),10,FALSE)"),"pusing, (+);sakit kepala (+);menjalar sampai telinga (+);bahu -&gt; lengan terasa kaku (+);dari Sp.Jp diminta konsul Sp.S")</f>
        <v>pusing, (+);sakit kepala (+);menjalar sampai telinga (+);bahu -&gt; lengan terasa kaku (+);dari Sp.Jp diminta konsul Sp.S</v>
      </c>
      <c r="F23" s="31" t="str">
        <f ca="1">IFERROR(__xludf.DUMMYFUNCTION("VLOOKUP($B50,FILTER('Kode Gejala + G44.2'!$B$2:$L$229, 'Kode Gejala + G44.2'!$L$2:$L$229&lt;&gt;""""),11,FALSE)"),"pusing;sakit kepala;menjalar sampai telinga;bahu ke lengan terasa kaku;dari Sp.Jp diminta konsul Sp.S")</f>
        <v>pusing;sakit kepala;menjalar sampai telinga;bahu ke lengan terasa kaku;dari Sp.Jp diminta konsul Sp.S</v>
      </c>
      <c r="G23" s="21" t="str">
        <f ca="1">IFERROR(__xludf.DUMMYFUNCTION("VLOOKUP($B50,FILTER('Kode Gejala + G44.2'!$B$2:$M$229, 'Kode Gejala + G44.2'!$M$2:$M$229&lt;&gt;""""),12,FALSE)"),"G0,G0,G22,G614,T")</f>
        <v>G0,G0,G22,G614,T</v>
      </c>
    </row>
    <row r="24" spans="1:7" ht="38.25" x14ac:dyDescent="0.25">
      <c r="A24" s="5">
        <v>22</v>
      </c>
      <c r="B24" s="19" t="s">
        <v>187</v>
      </c>
      <c r="C24" s="19" t="s">
        <v>95</v>
      </c>
      <c r="D24" s="22" t="s">
        <v>46</v>
      </c>
      <c r="E24" s="25" t="str">
        <f ca="1">IFERROR(__xludf.DUMMYFUNCTION("VLOOKUP($B52,FILTER('Kode Gejala + G44.2'!$B$2:$K$229, 'Kode Gejala + G44.2'!$K$2:$K$229&lt;&gt;""""),10,FALSE)"),"Nyeri kepala;disertai tegang di pundak;Mual (+);Kembung;Nyeri lambung (+);Diare (-);Alergi Obat (-)")</f>
        <v>Nyeri kepala;disertai tegang di pundak;Mual (+);Kembung;Nyeri lambung (+);Diare (-);Alergi Obat (-)</v>
      </c>
      <c r="F24" s="31" t="str">
        <f ca="1">IFERROR(__xludf.DUMMYFUNCTION("VLOOKUP($B52,FILTER('Kode Gejala + G44.2'!$B$2:$L$229, 'Kode Gejala + G44.2'!$L$2:$L$229&lt;&gt;""""),11,FALSE)"),"Nyeri kepala;disertai tegang di pundak;Mual;Kembung;Nyeri lambung;Diare nihil;Alergi Obat nihil")</f>
        <v>Nyeri kepala;disertai tegang di pundak;Mual;Kembung;Nyeri lambung;Diare nihil;Alergi Obat nihil</v>
      </c>
      <c r="G24" s="21" t="str">
        <f ca="1">IFERROR(__xludf.DUMMYFUNCTION("VLOOKUP($B52,FILTER('Kode Gejala + G44.2'!$B$2:$M$229, 'Kode Gejala + G44.2'!$M$2:$M$229&lt;&gt;""""),12,FALSE)"),"G0,G614,G61,O,O,O,T")</f>
        <v>G0,G614,G61,O,O,O,T</v>
      </c>
    </row>
    <row r="25" spans="1:7" ht="51" x14ac:dyDescent="0.25">
      <c r="A25" s="5">
        <v>23</v>
      </c>
      <c r="B25" s="19" t="s">
        <v>148</v>
      </c>
      <c r="C25" s="19" t="s">
        <v>94</v>
      </c>
      <c r="D25" s="22" t="s">
        <v>46</v>
      </c>
      <c r="E25" s="25" t="str">
        <f ca="1">IFERROR(__xludf.DUMMYFUNCTION("VLOOKUP($B53,FILTER('Kode Gejala + G44.2'!$B$2:$K$229, 'Kode Gejala + G44.2'!$K$2:$K$229&lt;&gt;""""),10,FALSE)"),"nyeri kepala seprti terkat;dibagian belakang kepala;sejak 2 HSMRS;badan kadang terasa lemas;RPD : Epilepsi pengobatan 4 tahun saat usia 7 tahun")</f>
        <v>nyeri kepala seprti terkat;dibagian belakang kepala;sejak 2 HSMRS;badan kadang terasa lemas;RPD : Epilepsi pengobatan 4 tahun saat usia 7 tahun</v>
      </c>
      <c r="F25" s="31" t="str">
        <f ca="1">IFERROR(__xludf.DUMMYFUNCTION("VLOOKUP($B53,FILTER('Kode Gejala + G44.2'!$B$2:$L$229, 'Kode Gejala + G44.2'!$L$2:$L$229&lt;&gt;""""),11,FALSE)"),"nyeri kepala seperti terikat;dibagian belakang kepala;sejak 2 HSMRS;badan kadang terasa lemas;RPD Epilepsi pengobatan 4 tahun saat usia 7 tahun")</f>
        <v>nyeri kepala seperti terikat;dibagian belakang kepala;sejak 2 HSMRS;badan kadang terasa lemas;RPD Epilepsi pengobatan 4 tahun saat usia 7 tahun</v>
      </c>
      <c r="G25" s="21" t="str">
        <f ca="1">IFERROR(__xludf.DUMMYFUNCTION("VLOOKUP($B53,FILTER('Kode Gejala + G44.2'!$B$2:$M$229, 'Kode Gejala + G44.2'!$M$2:$M$229&lt;&gt;""""),12,FALSE)"),"G15,G21,G51,O,O")</f>
        <v>G15,G21,G51,O,O</v>
      </c>
    </row>
    <row r="26" spans="1:7" ht="38.25" x14ac:dyDescent="0.25">
      <c r="A26" s="5">
        <v>24</v>
      </c>
      <c r="B26" s="19" t="s">
        <v>149</v>
      </c>
      <c r="C26" s="19" t="s">
        <v>93</v>
      </c>
      <c r="D26" s="19" t="s">
        <v>46</v>
      </c>
      <c r="E26" s="25" t="str">
        <f ca="1">IFERROR(__xludf.DUMMYFUNCTION("VLOOKUP($B54,FILTER('Kode Gejala + G44.2'!$B$2:$K$229, 'Kode Gejala + G44.2'!$K$2:$K$229&lt;&gt;""""),10,FALSE)"),"Badan terasa gatal2 (+);Kemerahan (-);+-1minggu Kepala terasa pusing (+);Gliyer (+);Mual Muntah (-)")</f>
        <v>Badan terasa gatal2 (+);Kemerahan (-);+-1minggu Kepala terasa pusing (+);Gliyer (+);Mual Muntah (-)</v>
      </c>
      <c r="F26" s="31" t="str">
        <f ca="1">IFERROR(__xludf.DUMMYFUNCTION("VLOOKUP($B54,FILTER('Kode Gejala + G44.2'!$B$2:$L$229, 'Kode Gejala + G44.2'!$L$2:$L$229&lt;&gt;""""),11,FALSE)"),"Badan terasa gatal gatal;Kemerahan nihil;kurang lebih 1 minggu Kepala terasa pusing;Gliyer;Mual Muntah nihil")</f>
        <v>Badan terasa gatal gatal;Kemerahan nihil;kurang lebih 1 minggu Kepala terasa pusing;Gliyer;Mual Muntah nihil</v>
      </c>
      <c r="G26" s="21" t="str">
        <f ca="1">IFERROR(__xludf.DUMMYFUNCTION("VLOOKUP($B54,FILTER('Kode Gejala + G44.2'!$B$2:$M$229, 'Kode Gejala + G44.2'!$M$2:$M$229&lt;&gt;""""),12,FALSE)"),"O,O,G51,O,XG61")</f>
        <v>O,O,G51,O,XG61</v>
      </c>
    </row>
    <row r="27" spans="1:7" ht="51" x14ac:dyDescent="0.25">
      <c r="A27" s="5">
        <v>25</v>
      </c>
      <c r="B27" s="19" t="s">
        <v>150</v>
      </c>
      <c r="C27" s="19" t="s">
        <v>81</v>
      </c>
      <c r="D27" s="22" t="s">
        <v>46</v>
      </c>
      <c r="E27" s="25" t="str">
        <f ca="1">IFERROR(__xludf.DUMMYFUNCTION("VLOOKUP($B58,FILTER('Kode Gejala + G44.2'!$B$2:$K$229, 'Kode Gejala + G44.2'!$K$2:$K$229&lt;&gt;""""),10,FALSE)"),"Kliyengan (+);Pusing (+);Mual (-);Muntah (-);Demam (-);Pusing berputar (-);+-4hari;Alergi obat (-);gerakan kepala terasa berat")</f>
        <v>Kliyengan (+);Pusing (+);Mual (-);Muntah (-);Demam (-);Pusing berputar (-);+-4hari;Alergi obat (-);gerakan kepala terasa berat</v>
      </c>
      <c r="F27" s="31" t="str">
        <f ca="1">IFERROR(__xludf.DUMMYFUNCTION("VLOOKUP($B58,FILTER('Kode Gejala + G44.2'!$B$2:$L$229, 'Kode Gejala + G44.2'!$L$2:$L$229&lt;&gt;""""),11,FALSE)"),"Kliyengan;Pusing;Mual nihil;Muntah nihil;Demam nihil;Pusing berputar nihil;kurang lebih 4 hari;Alergi obat nihil;gerakan kepala terasa berat")</f>
        <v>Kliyengan;Pusing;Mual nihil;Muntah nihil;Demam nihil;Pusing berputar nihil;kurang lebih 4 hari;Alergi obat nihil;gerakan kepala terasa berat</v>
      </c>
      <c r="G27" s="21" t="str">
        <f ca="1">IFERROR(__xludf.DUMMYFUNCTION("VLOOKUP($B58,FILTER('Kode Gejala + G44.2'!$B$2:$M$229, 'Kode Gejala + G44.2'!$M$2:$M$229&lt;&gt;""""),12,FALSE)"),"G0,G0,XG61,XG62,O,O,G51,T,G13")</f>
        <v>G0,G0,XG61,XG62,O,O,G51,T,G13</v>
      </c>
    </row>
    <row r="28" spans="1:7" s="33" customFormat="1" x14ac:dyDescent="0.25">
      <c r="A28" s="32"/>
      <c r="B28" s="32"/>
      <c r="C28" s="32"/>
      <c r="D28" s="32"/>
      <c r="G28" s="32"/>
    </row>
    <row r="29" spans="1:7" s="33" customFormat="1" x14ac:dyDescent="0.25">
      <c r="A29" s="32"/>
      <c r="B29" s="32"/>
      <c r="C29" s="32"/>
      <c r="D29" s="32"/>
      <c r="G29" s="32"/>
    </row>
    <row r="30" spans="1:7" s="33" customFormat="1" x14ac:dyDescent="0.25">
      <c r="A30" s="32"/>
      <c r="B30" s="32"/>
      <c r="C30" s="32"/>
      <c r="D30" s="32"/>
      <c r="G30" s="32"/>
    </row>
    <row r="31" spans="1:7" s="33" customFormat="1" x14ac:dyDescent="0.25">
      <c r="A31" s="32"/>
      <c r="B31" s="32"/>
      <c r="C31" s="32"/>
      <c r="D31" s="32"/>
      <c r="G31" s="32"/>
    </row>
    <row r="32" spans="1:7" s="33" customFormat="1" x14ac:dyDescent="0.25">
      <c r="A32" s="32"/>
      <c r="B32" s="32"/>
      <c r="C32" s="32"/>
      <c r="D32" s="32"/>
      <c r="G32" s="32"/>
    </row>
    <row r="33" spans="1:7" s="33" customFormat="1" x14ac:dyDescent="0.25">
      <c r="A33" s="32"/>
      <c r="B33" s="32"/>
      <c r="C33" s="32"/>
      <c r="D33" s="32"/>
      <c r="G33" s="32"/>
    </row>
    <row r="34" spans="1:7" s="33" customFormat="1" x14ac:dyDescent="0.25">
      <c r="A34" s="32"/>
      <c r="B34" s="32"/>
      <c r="C34" s="32"/>
      <c r="D34" s="32"/>
      <c r="G34" s="32"/>
    </row>
    <row r="35" spans="1:7" s="33" customFormat="1" x14ac:dyDescent="0.25">
      <c r="A35" s="32"/>
      <c r="B35" s="32"/>
      <c r="C35" s="32"/>
      <c r="D35" s="32"/>
      <c r="G35" s="32"/>
    </row>
    <row r="36" spans="1:7" s="33" customFormat="1" x14ac:dyDescent="0.25">
      <c r="A36" s="32"/>
      <c r="B36" s="32"/>
      <c r="C36" s="32"/>
      <c r="D36" s="32"/>
      <c r="G36" s="32"/>
    </row>
    <row r="37" spans="1:7" s="33" customFormat="1" x14ac:dyDescent="0.25">
      <c r="A37" s="32"/>
      <c r="B37" s="32"/>
      <c r="C37" s="32"/>
      <c r="D37" s="32"/>
      <c r="G37" s="32"/>
    </row>
    <row r="38" spans="1:7" s="33" customFormat="1" x14ac:dyDescent="0.25">
      <c r="A38" s="32"/>
      <c r="B38" s="32"/>
      <c r="C38" s="32"/>
      <c r="D38" s="32"/>
      <c r="G38" s="32"/>
    </row>
    <row r="39" spans="1:7" s="33" customFormat="1" x14ac:dyDescent="0.25">
      <c r="A39" s="32"/>
      <c r="B39" s="32"/>
      <c r="C39" s="32"/>
      <c r="D39" s="32"/>
      <c r="G39" s="32"/>
    </row>
    <row r="40" spans="1:7" s="33" customFormat="1" x14ac:dyDescent="0.25">
      <c r="A40" s="32"/>
      <c r="B40" s="32"/>
      <c r="C40" s="32"/>
      <c r="D40" s="32"/>
      <c r="G40" s="32"/>
    </row>
    <row r="41" spans="1:7" s="33" customFormat="1" x14ac:dyDescent="0.25">
      <c r="A41" s="32"/>
      <c r="B41" s="32"/>
      <c r="C41" s="32"/>
      <c r="D41" s="32"/>
      <c r="G41" s="32"/>
    </row>
    <row r="42" spans="1:7" s="33" customFormat="1" x14ac:dyDescent="0.25">
      <c r="A42" s="32"/>
      <c r="B42" s="32"/>
      <c r="C42" s="32"/>
      <c r="D42" s="32"/>
      <c r="G42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8BE7-1366-490F-8631-6EA9CAC5F503}">
  <dimension ref="A2:M240"/>
  <sheetViews>
    <sheetView zoomScale="70" zoomScaleNormal="70" workbookViewId="0">
      <selection activeCell="F20" sqref="F20"/>
    </sheetView>
  </sheetViews>
  <sheetFormatPr defaultRowHeight="12.75" x14ac:dyDescent="0.25"/>
  <cols>
    <col min="1" max="1" width="7.140625" style="16" bestFit="1" customWidth="1"/>
    <col min="2" max="2" width="6.5703125" style="1" bestFit="1" customWidth="1"/>
    <col min="3" max="3" width="6.140625" style="1" bestFit="1" customWidth="1"/>
    <col min="4" max="4" width="6.7109375" style="1" bestFit="1" customWidth="1"/>
    <col min="5" max="5" width="6.42578125" style="1" bestFit="1" customWidth="1"/>
    <col min="6" max="6" width="55.28515625" style="1" bestFit="1" customWidth="1"/>
    <col min="7" max="7" width="60" style="1" bestFit="1" customWidth="1"/>
    <col min="8" max="8" width="11.42578125" style="1" bestFit="1" customWidth="1"/>
    <col min="9" max="9" width="19.5703125" style="1" bestFit="1" customWidth="1"/>
    <col min="10" max="10" width="21.5703125" style="1" bestFit="1" customWidth="1"/>
    <col min="11" max="11" width="6.42578125" style="1" customWidth="1"/>
    <col min="12" max="12" width="3" style="1" bestFit="1" customWidth="1"/>
    <col min="13" max="13" width="4.5703125" style="1" bestFit="1" customWidth="1"/>
    <col min="14" max="16384" width="9.140625" style="1"/>
  </cols>
  <sheetData>
    <row r="2" spans="1:13" ht="89.25" x14ac:dyDescent="0.25">
      <c r="A2" s="18" t="s">
        <v>1</v>
      </c>
      <c r="B2" s="6" t="s">
        <v>40</v>
      </c>
      <c r="C2" s="6" t="s">
        <v>5</v>
      </c>
      <c r="D2" s="6" t="s">
        <v>6</v>
      </c>
      <c r="E2" s="7" t="s">
        <v>4</v>
      </c>
      <c r="F2" s="7" t="s">
        <v>7</v>
      </c>
      <c r="G2" s="7" t="s">
        <v>8</v>
      </c>
      <c r="H2" s="7" t="s">
        <v>3</v>
      </c>
      <c r="I2" s="7" t="s">
        <v>9</v>
      </c>
      <c r="J2" s="7" t="s">
        <v>2</v>
      </c>
      <c r="K2" s="7" t="s">
        <v>10</v>
      </c>
      <c r="L2" s="7" t="s">
        <v>11</v>
      </c>
      <c r="M2" s="7" t="s">
        <v>12</v>
      </c>
    </row>
    <row r="3" spans="1:13" s="39" customFormat="1" ht="25.5" x14ac:dyDescent="0.25">
      <c r="A3" s="34">
        <v>1</v>
      </c>
      <c r="B3" s="35" t="s">
        <v>99</v>
      </c>
      <c r="C3" s="35" t="s">
        <v>131</v>
      </c>
      <c r="D3" s="36" t="s">
        <v>123</v>
      </c>
      <c r="E3" s="35" t="s">
        <v>13</v>
      </c>
      <c r="F3" s="37" t="s">
        <v>155</v>
      </c>
      <c r="G3" s="37" t="s">
        <v>156</v>
      </c>
      <c r="H3" s="37" t="s">
        <v>157</v>
      </c>
      <c r="I3" s="37" t="s">
        <v>158</v>
      </c>
      <c r="J3" s="37" t="s">
        <v>159</v>
      </c>
      <c r="K3" s="38" t="s">
        <v>17</v>
      </c>
      <c r="L3" s="38">
        <v>0</v>
      </c>
      <c r="M3" s="38" t="s">
        <v>17</v>
      </c>
    </row>
    <row r="4" spans="1:13" s="39" customFormat="1" ht="25.5" x14ac:dyDescent="0.25">
      <c r="A4" s="34"/>
      <c r="B4" s="35" t="s">
        <v>98</v>
      </c>
      <c r="C4" s="35" t="s">
        <v>131</v>
      </c>
      <c r="D4" s="36" t="s">
        <v>123</v>
      </c>
      <c r="E4" s="40"/>
      <c r="F4" s="37"/>
      <c r="G4" s="37"/>
      <c r="H4" s="37"/>
      <c r="I4" s="37" t="s">
        <v>160</v>
      </c>
      <c r="J4" s="37" t="s">
        <v>160</v>
      </c>
      <c r="K4" s="38" t="s">
        <v>161</v>
      </c>
      <c r="L4" s="38">
        <v>0</v>
      </c>
      <c r="M4" s="38" t="s">
        <v>161</v>
      </c>
    </row>
    <row r="5" spans="1:13" s="39" customFormat="1" x14ac:dyDescent="0.25">
      <c r="A5" s="34"/>
      <c r="B5" s="35" t="s">
        <v>96</v>
      </c>
      <c r="C5" s="35" t="s">
        <v>131</v>
      </c>
      <c r="D5" s="36" t="s">
        <v>123</v>
      </c>
      <c r="E5" s="40"/>
      <c r="F5" s="37"/>
      <c r="G5" s="37"/>
      <c r="H5" s="37"/>
      <c r="I5" s="37" t="s">
        <v>18</v>
      </c>
      <c r="J5" s="37" t="s">
        <v>19</v>
      </c>
      <c r="K5" s="38" t="s">
        <v>20</v>
      </c>
      <c r="L5" s="38">
        <v>0</v>
      </c>
      <c r="M5" s="38" t="s">
        <v>20</v>
      </c>
    </row>
    <row r="6" spans="1:13" s="39" customFormat="1" x14ac:dyDescent="0.25">
      <c r="A6" s="34"/>
      <c r="B6" s="35" t="s">
        <v>95</v>
      </c>
      <c r="C6" s="35" t="s">
        <v>131</v>
      </c>
      <c r="D6" s="36" t="s">
        <v>123</v>
      </c>
      <c r="E6" s="40"/>
      <c r="F6" s="37"/>
      <c r="G6" s="37"/>
      <c r="H6" s="37"/>
      <c r="I6" s="37" t="s">
        <v>162</v>
      </c>
      <c r="J6" s="37" t="s">
        <v>163</v>
      </c>
      <c r="K6" s="38" t="s">
        <v>15</v>
      </c>
      <c r="L6" s="38">
        <v>0</v>
      </c>
      <c r="M6" s="38" t="s">
        <v>15</v>
      </c>
    </row>
    <row r="7" spans="1:13" s="39" customFormat="1" ht="25.5" x14ac:dyDescent="0.25">
      <c r="A7" s="34">
        <v>2</v>
      </c>
      <c r="B7" s="35" t="s">
        <v>94</v>
      </c>
      <c r="C7" s="35" t="s">
        <v>130</v>
      </c>
      <c r="D7" s="36" t="s">
        <v>122</v>
      </c>
      <c r="E7" s="40" t="s">
        <v>13</v>
      </c>
      <c r="F7" s="37" t="s">
        <v>164</v>
      </c>
      <c r="G7" s="37" t="s">
        <v>165</v>
      </c>
      <c r="H7" s="37" t="s">
        <v>166</v>
      </c>
      <c r="I7" s="37" t="s">
        <v>167</v>
      </c>
      <c r="J7" s="37" t="s">
        <v>168</v>
      </c>
      <c r="K7" s="38" t="s">
        <v>15</v>
      </c>
      <c r="L7" s="38">
        <v>0</v>
      </c>
      <c r="M7" s="38" t="s">
        <v>15</v>
      </c>
    </row>
    <row r="8" spans="1:13" s="39" customFormat="1" x14ac:dyDescent="0.25">
      <c r="A8" s="34"/>
      <c r="B8" s="35" t="s">
        <v>93</v>
      </c>
      <c r="C8" s="35" t="s">
        <v>130</v>
      </c>
      <c r="D8" s="36" t="s">
        <v>122</v>
      </c>
      <c r="E8" s="40"/>
      <c r="F8" s="37"/>
      <c r="G8" s="37"/>
      <c r="H8" s="37"/>
      <c r="I8" s="37" t="s">
        <v>169</v>
      </c>
      <c r="J8" s="37" t="s">
        <v>37</v>
      </c>
      <c r="K8" s="38" t="s">
        <v>22</v>
      </c>
      <c r="L8" s="38">
        <v>0</v>
      </c>
      <c r="M8" s="38" t="s">
        <v>22</v>
      </c>
    </row>
    <row r="9" spans="1:13" s="39" customFormat="1" x14ac:dyDescent="0.25">
      <c r="A9" s="34"/>
      <c r="B9" s="35" t="s">
        <v>91</v>
      </c>
      <c r="C9" s="35" t="s">
        <v>130</v>
      </c>
      <c r="D9" s="36" t="s">
        <v>122</v>
      </c>
      <c r="E9" s="40"/>
      <c r="F9" s="37"/>
      <c r="G9" s="37"/>
      <c r="H9" s="37"/>
      <c r="I9" s="37" t="s">
        <v>170</v>
      </c>
      <c r="J9" s="37" t="s">
        <v>170</v>
      </c>
      <c r="K9" s="38" t="s">
        <v>26</v>
      </c>
      <c r="L9" s="38">
        <v>0</v>
      </c>
      <c r="M9" s="38" t="s">
        <v>26</v>
      </c>
    </row>
    <row r="10" spans="1:13" s="39" customFormat="1" ht="25.5" x14ac:dyDescent="0.25">
      <c r="A10" s="34"/>
      <c r="B10" s="35" t="s">
        <v>89</v>
      </c>
      <c r="C10" s="35" t="s">
        <v>130</v>
      </c>
      <c r="D10" s="36" t="s">
        <v>122</v>
      </c>
      <c r="E10" s="40"/>
      <c r="F10" s="37"/>
      <c r="G10" s="37"/>
      <c r="H10" s="37"/>
      <c r="I10" s="37" t="s">
        <v>171</v>
      </c>
      <c r="J10" s="37" t="s">
        <v>172</v>
      </c>
      <c r="K10" s="38" t="s">
        <v>17</v>
      </c>
      <c r="L10" s="38">
        <v>0</v>
      </c>
      <c r="M10" s="38" t="s">
        <v>17</v>
      </c>
    </row>
    <row r="11" spans="1:13" s="39" customFormat="1" ht="25.5" x14ac:dyDescent="0.25">
      <c r="A11" s="34">
        <v>3</v>
      </c>
      <c r="B11" s="35" t="s">
        <v>44</v>
      </c>
      <c r="C11" s="35" t="s">
        <v>126</v>
      </c>
      <c r="D11" s="36" t="s">
        <v>146</v>
      </c>
      <c r="E11" s="40" t="s">
        <v>13</v>
      </c>
      <c r="F11" s="37" t="s">
        <v>173</v>
      </c>
      <c r="G11" s="37" t="s">
        <v>174</v>
      </c>
      <c r="H11" s="37" t="s">
        <v>175</v>
      </c>
      <c r="I11" s="37" t="s">
        <v>176</v>
      </c>
      <c r="J11" s="37" t="s">
        <v>33</v>
      </c>
      <c r="K11" s="38" t="s">
        <v>20</v>
      </c>
      <c r="L11" s="38">
        <v>0</v>
      </c>
      <c r="M11" s="38" t="s">
        <v>20</v>
      </c>
    </row>
    <row r="12" spans="1:13" s="39" customFormat="1" x14ac:dyDescent="0.25">
      <c r="A12" s="34"/>
      <c r="B12" s="35" t="s">
        <v>177</v>
      </c>
      <c r="C12" s="35" t="s">
        <v>126</v>
      </c>
      <c r="D12" s="36" t="s">
        <v>146</v>
      </c>
      <c r="E12" s="35"/>
      <c r="F12" s="37"/>
      <c r="G12" s="37"/>
      <c r="H12" s="37"/>
      <c r="I12" s="37" t="s">
        <v>178</v>
      </c>
      <c r="J12" s="37" t="s">
        <v>179</v>
      </c>
      <c r="K12" s="38" t="s">
        <v>15</v>
      </c>
      <c r="L12" s="38">
        <v>0</v>
      </c>
      <c r="M12" s="38" t="s">
        <v>15</v>
      </c>
    </row>
    <row r="13" spans="1:13" s="39" customFormat="1" x14ac:dyDescent="0.25">
      <c r="A13" s="34"/>
      <c r="B13" s="35" t="s">
        <v>180</v>
      </c>
      <c r="C13" s="35" t="s">
        <v>126</v>
      </c>
      <c r="D13" s="36" t="s">
        <v>146</v>
      </c>
      <c r="E13" s="35"/>
      <c r="F13" s="37"/>
      <c r="G13" s="37"/>
      <c r="H13" s="37"/>
      <c r="I13" s="37" t="s">
        <v>169</v>
      </c>
      <c r="J13" s="37" t="s">
        <v>37</v>
      </c>
      <c r="K13" s="38" t="s">
        <v>22</v>
      </c>
      <c r="L13" s="38">
        <v>0</v>
      </c>
      <c r="M13" s="38" t="s">
        <v>22</v>
      </c>
    </row>
    <row r="14" spans="1:13" s="39" customFormat="1" x14ac:dyDescent="0.25">
      <c r="A14" s="34"/>
      <c r="B14" s="35" t="s">
        <v>119</v>
      </c>
      <c r="C14" s="35" t="s">
        <v>126</v>
      </c>
      <c r="D14" s="36" t="s">
        <v>146</v>
      </c>
      <c r="E14" s="35"/>
      <c r="F14" s="37"/>
      <c r="G14" s="37"/>
      <c r="H14" s="37"/>
      <c r="I14" s="37" t="s">
        <v>181</v>
      </c>
      <c r="J14" s="37" t="s">
        <v>182</v>
      </c>
      <c r="K14" s="38" t="s">
        <v>66</v>
      </c>
      <c r="L14" s="38">
        <v>0</v>
      </c>
      <c r="M14" s="38" t="s">
        <v>66</v>
      </c>
    </row>
    <row r="15" spans="1:13" s="39" customFormat="1" x14ac:dyDescent="0.25">
      <c r="A15" s="34"/>
      <c r="B15" s="35" t="s">
        <v>116</v>
      </c>
      <c r="C15" s="35" t="s">
        <v>126</v>
      </c>
      <c r="D15" s="36" t="s">
        <v>146</v>
      </c>
      <c r="E15" s="35"/>
      <c r="F15" s="37"/>
      <c r="G15" s="37"/>
      <c r="H15" s="37"/>
      <c r="I15" s="37" t="s">
        <v>27</v>
      </c>
      <c r="J15" s="37" t="s">
        <v>28</v>
      </c>
      <c r="K15" s="38" t="s">
        <v>17</v>
      </c>
      <c r="L15" s="38">
        <v>1</v>
      </c>
      <c r="M15" s="38" t="s">
        <v>17</v>
      </c>
    </row>
    <row r="16" spans="1:13" s="39" customFormat="1" ht="25.5" x14ac:dyDescent="0.25">
      <c r="A16" s="34">
        <v>4</v>
      </c>
      <c r="B16" s="35" t="s">
        <v>183</v>
      </c>
      <c r="C16" s="35" t="s">
        <v>122</v>
      </c>
      <c r="D16" s="36" t="s">
        <v>107</v>
      </c>
      <c r="E16" s="40" t="s">
        <v>13</v>
      </c>
      <c r="F16" s="37" t="s">
        <v>152</v>
      </c>
      <c r="G16" s="37" t="s">
        <v>153</v>
      </c>
      <c r="H16" s="37" t="s">
        <v>154</v>
      </c>
      <c r="I16" s="37" t="s">
        <v>184</v>
      </c>
      <c r="J16" s="37" t="s">
        <v>184</v>
      </c>
      <c r="K16" s="38" t="s">
        <v>29</v>
      </c>
      <c r="L16" s="38">
        <v>0</v>
      </c>
      <c r="M16" s="38" t="s">
        <v>29</v>
      </c>
    </row>
    <row r="17" spans="1:13" s="39" customFormat="1" x14ac:dyDescent="0.25">
      <c r="A17" s="34"/>
      <c r="B17" s="35" t="s">
        <v>97</v>
      </c>
      <c r="C17" s="35" t="s">
        <v>122</v>
      </c>
      <c r="D17" s="36" t="s">
        <v>107</v>
      </c>
      <c r="E17" s="40"/>
      <c r="F17" s="37"/>
      <c r="G17" s="37"/>
      <c r="H17" s="37"/>
      <c r="I17" s="37" t="s">
        <v>185</v>
      </c>
      <c r="J17" s="37" t="s">
        <v>186</v>
      </c>
      <c r="K17" s="38" t="s">
        <v>66</v>
      </c>
      <c r="L17" s="38">
        <v>0</v>
      </c>
      <c r="M17" s="38" t="s">
        <v>66</v>
      </c>
    </row>
    <row r="18" spans="1:13" s="39" customFormat="1" ht="25.5" x14ac:dyDescent="0.25">
      <c r="A18" s="34"/>
      <c r="B18" s="35" t="s">
        <v>187</v>
      </c>
      <c r="C18" s="35" t="s">
        <v>122</v>
      </c>
      <c r="D18" s="36" t="s">
        <v>107</v>
      </c>
      <c r="E18" s="40"/>
      <c r="F18" s="37"/>
      <c r="G18" s="37"/>
      <c r="H18" s="37"/>
      <c r="I18" s="37" t="s">
        <v>188</v>
      </c>
      <c r="J18" s="37" t="s">
        <v>188</v>
      </c>
      <c r="K18" s="38" t="s">
        <v>30</v>
      </c>
      <c r="L18" s="38">
        <v>0</v>
      </c>
      <c r="M18" s="38" t="s">
        <v>30</v>
      </c>
    </row>
    <row r="19" spans="1:13" s="39" customFormat="1" x14ac:dyDescent="0.25">
      <c r="A19" s="34">
        <v>5</v>
      </c>
      <c r="B19" s="35" t="s">
        <v>45</v>
      </c>
      <c r="C19" s="35" t="s">
        <v>113</v>
      </c>
      <c r="D19" s="36" t="s">
        <v>99</v>
      </c>
      <c r="E19" s="40" t="s">
        <v>13</v>
      </c>
      <c r="F19" s="37" t="s">
        <v>189</v>
      </c>
      <c r="G19" s="37" t="s">
        <v>190</v>
      </c>
      <c r="H19" s="37" t="s">
        <v>191</v>
      </c>
      <c r="I19" s="37" t="s">
        <v>192</v>
      </c>
      <c r="J19" s="37" t="s">
        <v>193</v>
      </c>
      <c r="K19" s="38" t="s">
        <v>20</v>
      </c>
      <c r="L19" s="38">
        <v>0</v>
      </c>
      <c r="M19" s="38" t="s">
        <v>20</v>
      </c>
    </row>
    <row r="20" spans="1:13" s="39" customFormat="1" ht="25.5" x14ac:dyDescent="0.25">
      <c r="A20" s="34"/>
      <c r="B20" s="35" t="s">
        <v>194</v>
      </c>
      <c r="C20" s="35" t="s">
        <v>113</v>
      </c>
      <c r="D20" s="36" t="s">
        <v>99</v>
      </c>
      <c r="E20" s="40"/>
      <c r="F20" s="37"/>
      <c r="G20" s="37"/>
      <c r="H20" s="37"/>
      <c r="I20" s="37" t="s">
        <v>195</v>
      </c>
      <c r="J20" s="37" t="s">
        <v>196</v>
      </c>
      <c r="K20" s="38" t="s">
        <v>15</v>
      </c>
      <c r="L20" s="38">
        <v>0</v>
      </c>
      <c r="M20" s="38" t="s">
        <v>15</v>
      </c>
    </row>
    <row r="21" spans="1:13" s="39" customFormat="1" ht="25.5" x14ac:dyDescent="0.25">
      <c r="A21" s="34"/>
      <c r="B21" s="35" t="s">
        <v>197</v>
      </c>
      <c r="C21" s="35" t="s">
        <v>113</v>
      </c>
      <c r="D21" s="36" t="s">
        <v>99</v>
      </c>
      <c r="E21" s="40"/>
      <c r="F21" s="37"/>
      <c r="G21" s="37"/>
      <c r="H21" s="37"/>
      <c r="I21" s="37" t="s">
        <v>198</v>
      </c>
      <c r="J21" s="37" t="s">
        <v>117</v>
      </c>
      <c r="K21" s="38" t="s">
        <v>30</v>
      </c>
      <c r="L21" s="38">
        <v>0</v>
      </c>
      <c r="M21" s="38" t="s">
        <v>30</v>
      </c>
    </row>
    <row r="22" spans="1:13" s="39" customFormat="1" ht="51" x14ac:dyDescent="0.25">
      <c r="A22" s="34">
        <v>6</v>
      </c>
      <c r="B22" s="35" t="s">
        <v>199</v>
      </c>
      <c r="C22" s="35" t="s">
        <v>146</v>
      </c>
      <c r="D22" s="36" t="s">
        <v>98</v>
      </c>
      <c r="E22" s="40" t="s">
        <v>13</v>
      </c>
      <c r="F22" s="37" t="s">
        <v>200</v>
      </c>
      <c r="G22" s="37" t="s">
        <v>201</v>
      </c>
      <c r="H22" s="37" t="s">
        <v>202</v>
      </c>
      <c r="I22" s="37" t="s">
        <v>203</v>
      </c>
      <c r="J22" s="37" t="s">
        <v>204</v>
      </c>
      <c r="K22" s="38" t="s">
        <v>30</v>
      </c>
      <c r="L22" s="38">
        <v>0</v>
      </c>
      <c r="M22" s="38" t="s">
        <v>30</v>
      </c>
    </row>
    <row r="23" spans="1:13" s="39" customFormat="1" ht="38.25" x14ac:dyDescent="0.25">
      <c r="A23" s="34"/>
      <c r="B23" s="35" t="s">
        <v>205</v>
      </c>
      <c r="C23" s="35" t="s">
        <v>146</v>
      </c>
      <c r="D23" s="36" t="s">
        <v>98</v>
      </c>
      <c r="E23" s="35"/>
      <c r="F23" s="37"/>
      <c r="G23" s="37"/>
      <c r="H23" s="37"/>
      <c r="I23" s="37" t="s">
        <v>206</v>
      </c>
      <c r="J23" s="37" t="s">
        <v>207</v>
      </c>
      <c r="K23" s="38" t="s">
        <v>69</v>
      </c>
      <c r="L23" s="38">
        <v>0</v>
      </c>
      <c r="M23" s="38" t="s">
        <v>69</v>
      </c>
    </row>
    <row r="24" spans="1:13" s="39" customFormat="1" x14ac:dyDescent="0.25">
      <c r="A24" s="34"/>
      <c r="B24" s="35" t="s">
        <v>208</v>
      </c>
      <c r="C24" s="35" t="s">
        <v>146</v>
      </c>
      <c r="D24" s="36" t="s">
        <v>98</v>
      </c>
      <c r="E24" s="35"/>
      <c r="F24" s="37"/>
      <c r="G24" s="37"/>
      <c r="H24" s="37"/>
      <c r="I24" s="37" t="s">
        <v>209</v>
      </c>
      <c r="J24" s="37" t="s">
        <v>210</v>
      </c>
      <c r="K24" s="38" t="s">
        <v>211</v>
      </c>
      <c r="L24" s="38">
        <v>0</v>
      </c>
      <c r="M24" s="38" t="s">
        <v>211</v>
      </c>
    </row>
    <row r="25" spans="1:13" s="39" customFormat="1" x14ac:dyDescent="0.25">
      <c r="A25" s="34"/>
      <c r="B25" s="35" t="s">
        <v>212</v>
      </c>
      <c r="C25" s="35" t="s">
        <v>146</v>
      </c>
      <c r="D25" s="36" t="s">
        <v>98</v>
      </c>
      <c r="E25" s="35"/>
      <c r="F25" s="37"/>
      <c r="G25" s="37"/>
      <c r="H25" s="37"/>
      <c r="I25" s="37" t="s">
        <v>213</v>
      </c>
      <c r="J25" s="37" t="s">
        <v>214</v>
      </c>
      <c r="K25" s="38" t="s">
        <v>15</v>
      </c>
      <c r="L25" s="38">
        <v>0</v>
      </c>
      <c r="M25" s="38" t="s">
        <v>15</v>
      </c>
    </row>
    <row r="26" spans="1:13" s="39" customFormat="1" x14ac:dyDescent="0.25">
      <c r="A26" s="34"/>
      <c r="B26" s="35" t="s">
        <v>215</v>
      </c>
      <c r="C26" s="35" t="s">
        <v>146</v>
      </c>
      <c r="D26" s="36" t="s">
        <v>98</v>
      </c>
      <c r="E26" s="35"/>
      <c r="F26" s="37"/>
      <c r="G26" s="37"/>
      <c r="H26" s="37"/>
      <c r="I26" s="37" t="s">
        <v>216</v>
      </c>
      <c r="J26" s="37" t="s">
        <v>216</v>
      </c>
      <c r="K26" s="38" t="s">
        <v>69</v>
      </c>
      <c r="L26" s="38">
        <v>0</v>
      </c>
      <c r="M26" s="38" t="s">
        <v>69</v>
      </c>
    </row>
    <row r="27" spans="1:13" s="39" customFormat="1" x14ac:dyDescent="0.25">
      <c r="A27" s="34"/>
      <c r="B27" s="35" t="s">
        <v>217</v>
      </c>
      <c r="C27" s="35" t="s">
        <v>146</v>
      </c>
      <c r="D27" s="36" t="s">
        <v>98</v>
      </c>
      <c r="E27" s="35"/>
      <c r="F27" s="37"/>
      <c r="G27" s="37"/>
      <c r="H27" s="37"/>
      <c r="I27" s="37" t="s">
        <v>218</v>
      </c>
      <c r="J27" s="37" t="s">
        <v>218</v>
      </c>
      <c r="K27" s="38" t="s">
        <v>69</v>
      </c>
      <c r="L27" s="38">
        <v>0</v>
      </c>
      <c r="M27" s="38" t="s">
        <v>69</v>
      </c>
    </row>
    <row r="28" spans="1:13" s="39" customFormat="1" ht="25.5" x14ac:dyDescent="0.25">
      <c r="A28" s="34"/>
      <c r="B28" s="35" t="s">
        <v>219</v>
      </c>
      <c r="C28" s="35" t="s">
        <v>146</v>
      </c>
      <c r="D28" s="36" t="s">
        <v>98</v>
      </c>
      <c r="E28" s="35"/>
      <c r="F28" s="37"/>
      <c r="G28" s="37"/>
      <c r="H28" s="37"/>
      <c r="I28" s="37" t="s">
        <v>220</v>
      </c>
      <c r="J28" s="37" t="s">
        <v>220</v>
      </c>
      <c r="K28" s="38" t="s">
        <v>69</v>
      </c>
      <c r="L28" s="38">
        <v>0</v>
      </c>
      <c r="M28" s="38" t="s">
        <v>69</v>
      </c>
    </row>
    <row r="29" spans="1:13" s="39" customFormat="1" x14ac:dyDescent="0.25">
      <c r="A29" s="34"/>
      <c r="B29" s="35" t="s">
        <v>221</v>
      </c>
      <c r="C29" s="35" t="s">
        <v>146</v>
      </c>
      <c r="D29" s="36" t="s">
        <v>98</v>
      </c>
      <c r="E29" s="35"/>
      <c r="F29" s="37"/>
      <c r="G29" s="37"/>
      <c r="H29" s="37"/>
      <c r="I29" s="37" t="s">
        <v>222</v>
      </c>
      <c r="J29" s="37" t="s">
        <v>223</v>
      </c>
      <c r="K29" s="38" t="s">
        <v>29</v>
      </c>
      <c r="L29" s="38">
        <v>0</v>
      </c>
      <c r="M29" s="38" t="s">
        <v>29</v>
      </c>
    </row>
    <row r="30" spans="1:13" s="39" customFormat="1" x14ac:dyDescent="0.25">
      <c r="A30" s="34"/>
      <c r="B30" s="35" t="s">
        <v>224</v>
      </c>
      <c r="C30" s="35" t="s">
        <v>146</v>
      </c>
      <c r="D30" s="36" t="s">
        <v>98</v>
      </c>
      <c r="E30" s="35"/>
      <c r="F30" s="37"/>
      <c r="G30" s="37"/>
      <c r="H30" s="37"/>
      <c r="I30" s="37" t="s">
        <v>225</v>
      </c>
      <c r="J30" s="37" t="s">
        <v>226</v>
      </c>
      <c r="K30" s="38" t="s">
        <v>15</v>
      </c>
      <c r="L30" s="38">
        <v>1</v>
      </c>
      <c r="M30" s="38" t="s">
        <v>15</v>
      </c>
    </row>
    <row r="31" spans="1:13" s="39" customFormat="1" x14ac:dyDescent="0.25">
      <c r="A31" s="34"/>
      <c r="B31" s="35" t="s">
        <v>227</v>
      </c>
      <c r="C31" s="35" t="s">
        <v>146</v>
      </c>
      <c r="D31" s="36" t="s">
        <v>98</v>
      </c>
      <c r="E31" s="35"/>
      <c r="F31" s="37"/>
      <c r="G31" s="37"/>
      <c r="H31" s="37"/>
      <c r="I31" s="37" t="s">
        <v>228</v>
      </c>
      <c r="J31" s="37" t="s">
        <v>229</v>
      </c>
      <c r="K31" s="38" t="s">
        <v>211</v>
      </c>
      <c r="L31" s="38">
        <v>0</v>
      </c>
      <c r="M31" s="38" t="s">
        <v>211</v>
      </c>
    </row>
    <row r="32" spans="1:13" s="39" customFormat="1" ht="38.25" x14ac:dyDescent="0.25">
      <c r="A32" s="34">
        <v>7</v>
      </c>
      <c r="B32" s="35" t="s">
        <v>230</v>
      </c>
      <c r="C32" s="35" t="s">
        <v>109</v>
      </c>
      <c r="D32" s="36" t="s">
        <v>96</v>
      </c>
      <c r="E32" s="35" t="s">
        <v>13</v>
      </c>
      <c r="F32" s="37" t="s">
        <v>231</v>
      </c>
      <c r="G32" s="37" t="s">
        <v>232</v>
      </c>
      <c r="H32" s="37" t="s">
        <v>233</v>
      </c>
      <c r="I32" s="37" t="s">
        <v>234</v>
      </c>
      <c r="J32" s="37" t="s">
        <v>234</v>
      </c>
      <c r="K32" s="38" t="s">
        <v>138</v>
      </c>
      <c r="L32" s="38">
        <v>0</v>
      </c>
      <c r="M32" s="38" t="s">
        <v>138</v>
      </c>
    </row>
    <row r="33" spans="1:13" s="39" customFormat="1" ht="38.25" x14ac:dyDescent="0.25">
      <c r="A33" s="34"/>
      <c r="B33" s="35" t="s">
        <v>235</v>
      </c>
      <c r="C33" s="35" t="s">
        <v>109</v>
      </c>
      <c r="D33" s="36" t="s">
        <v>96</v>
      </c>
      <c r="E33" s="40"/>
      <c r="F33" s="37"/>
      <c r="G33" s="37"/>
      <c r="H33" s="37"/>
      <c r="I33" s="37" t="s">
        <v>236</v>
      </c>
      <c r="J33" s="37" t="s">
        <v>237</v>
      </c>
      <c r="K33" s="38" t="s">
        <v>29</v>
      </c>
      <c r="L33" s="38">
        <v>0</v>
      </c>
      <c r="M33" s="38" t="s">
        <v>29</v>
      </c>
    </row>
    <row r="34" spans="1:13" s="39" customFormat="1" x14ac:dyDescent="0.25">
      <c r="A34" s="34"/>
      <c r="B34" s="35" t="s">
        <v>238</v>
      </c>
      <c r="C34" s="35" t="s">
        <v>109</v>
      </c>
      <c r="D34" s="36" t="s">
        <v>96</v>
      </c>
      <c r="E34" s="40"/>
      <c r="F34" s="37"/>
      <c r="G34" s="37"/>
      <c r="H34" s="37"/>
      <c r="I34" s="41" t="s">
        <v>239</v>
      </c>
      <c r="J34" s="37" t="s">
        <v>240</v>
      </c>
      <c r="K34" s="38" t="s">
        <v>14</v>
      </c>
      <c r="L34" s="38">
        <v>0</v>
      </c>
      <c r="M34" s="38" t="s">
        <v>14</v>
      </c>
    </row>
    <row r="35" spans="1:13" s="39" customFormat="1" ht="25.5" x14ac:dyDescent="0.25">
      <c r="A35" s="34"/>
      <c r="B35" s="35" t="s">
        <v>241</v>
      </c>
      <c r="C35" s="35" t="s">
        <v>109</v>
      </c>
      <c r="D35" s="36" t="s">
        <v>96</v>
      </c>
      <c r="E35" s="40"/>
      <c r="F35" s="37"/>
      <c r="G35" s="37"/>
      <c r="H35" s="37"/>
      <c r="I35" s="37" t="s">
        <v>242</v>
      </c>
      <c r="J35" s="37" t="s">
        <v>243</v>
      </c>
      <c r="K35" s="38" t="s">
        <v>15</v>
      </c>
      <c r="L35" s="38">
        <v>0</v>
      </c>
      <c r="M35" s="38" t="s">
        <v>15</v>
      </c>
    </row>
    <row r="36" spans="1:13" s="39" customFormat="1" x14ac:dyDescent="0.25">
      <c r="A36" s="34"/>
      <c r="B36" s="35" t="s">
        <v>244</v>
      </c>
      <c r="C36" s="35" t="s">
        <v>109</v>
      </c>
      <c r="D36" s="36" t="s">
        <v>96</v>
      </c>
      <c r="E36" s="40"/>
      <c r="F36" s="37"/>
      <c r="G36" s="37"/>
      <c r="H36" s="37"/>
      <c r="I36" s="37" t="s">
        <v>245</v>
      </c>
      <c r="J36" s="37" t="s">
        <v>37</v>
      </c>
      <c r="K36" s="38" t="s">
        <v>22</v>
      </c>
      <c r="L36" s="38">
        <v>0</v>
      </c>
      <c r="M36" s="38" t="s">
        <v>22</v>
      </c>
    </row>
    <row r="37" spans="1:13" s="39" customFormat="1" x14ac:dyDescent="0.25">
      <c r="A37" s="34"/>
      <c r="B37" s="35" t="s">
        <v>246</v>
      </c>
      <c r="C37" s="35" t="s">
        <v>109</v>
      </c>
      <c r="D37" s="36" t="s">
        <v>96</v>
      </c>
      <c r="E37" s="40"/>
      <c r="F37" s="37"/>
      <c r="G37" s="37"/>
      <c r="H37" s="37"/>
      <c r="I37" s="37" t="s">
        <v>247</v>
      </c>
      <c r="J37" s="37" t="s">
        <v>248</v>
      </c>
      <c r="K37" s="38" t="s">
        <v>139</v>
      </c>
      <c r="L37" s="38">
        <v>0</v>
      </c>
      <c r="M37" s="38" t="s">
        <v>139</v>
      </c>
    </row>
    <row r="38" spans="1:13" s="39" customFormat="1" x14ac:dyDescent="0.25">
      <c r="A38" s="34"/>
      <c r="B38" s="35" t="s">
        <v>249</v>
      </c>
      <c r="C38" s="35" t="s">
        <v>109</v>
      </c>
      <c r="D38" s="36" t="s">
        <v>96</v>
      </c>
      <c r="E38" s="40"/>
      <c r="F38" s="37"/>
      <c r="G38" s="37"/>
      <c r="H38" s="37"/>
      <c r="I38" s="37" t="s">
        <v>132</v>
      </c>
      <c r="J38" s="37" t="s">
        <v>28</v>
      </c>
      <c r="K38" s="38" t="s">
        <v>17</v>
      </c>
      <c r="L38" s="38">
        <v>1</v>
      </c>
      <c r="M38" s="38" t="s">
        <v>17</v>
      </c>
    </row>
    <row r="39" spans="1:13" s="39" customFormat="1" ht="51" x14ac:dyDescent="0.25">
      <c r="A39" s="34">
        <v>8</v>
      </c>
      <c r="B39" s="35" t="s">
        <v>250</v>
      </c>
      <c r="C39" s="35" t="s">
        <v>99</v>
      </c>
      <c r="D39" s="36" t="s">
        <v>91</v>
      </c>
      <c r="E39" s="40" t="s">
        <v>13</v>
      </c>
      <c r="F39" s="37" t="s">
        <v>251</v>
      </c>
      <c r="G39" s="37" t="s">
        <v>252</v>
      </c>
      <c r="H39" s="37" t="s">
        <v>253</v>
      </c>
      <c r="I39" s="37" t="s">
        <v>254</v>
      </c>
      <c r="J39" s="37" t="s">
        <v>129</v>
      </c>
      <c r="K39" s="38" t="s">
        <v>69</v>
      </c>
      <c r="L39" s="38">
        <v>0</v>
      </c>
      <c r="M39" s="38" t="s">
        <v>69</v>
      </c>
    </row>
    <row r="40" spans="1:13" s="39" customFormat="1" x14ac:dyDescent="0.25">
      <c r="A40" s="34"/>
      <c r="B40" s="35" t="s">
        <v>255</v>
      </c>
      <c r="C40" s="35" t="s">
        <v>99</v>
      </c>
      <c r="D40" s="36" t="s">
        <v>91</v>
      </c>
      <c r="E40" s="35"/>
      <c r="F40" s="37"/>
      <c r="G40" s="37"/>
      <c r="H40" s="37"/>
      <c r="I40" s="37" t="s">
        <v>256</v>
      </c>
      <c r="J40" s="37" t="s">
        <v>257</v>
      </c>
      <c r="K40" s="38" t="s">
        <v>16</v>
      </c>
      <c r="L40" s="38">
        <v>0</v>
      </c>
      <c r="M40" s="38" t="s">
        <v>16</v>
      </c>
    </row>
    <row r="41" spans="1:13" s="39" customFormat="1" ht="38.25" x14ac:dyDescent="0.25">
      <c r="A41" s="34"/>
      <c r="B41" s="35" t="s">
        <v>258</v>
      </c>
      <c r="C41" s="35" t="s">
        <v>99</v>
      </c>
      <c r="D41" s="36" t="s">
        <v>91</v>
      </c>
      <c r="E41" s="35"/>
      <c r="F41" s="37"/>
      <c r="G41" s="37"/>
      <c r="H41" s="37"/>
      <c r="I41" s="37" t="s">
        <v>259</v>
      </c>
      <c r="J41" s="37" t="s">
        <v>260</v>
      </c>
      <c r="K41" s="38" t="s">
        <v>15</v>
      </c>
      <c r="L41" s="38">
        <v>0</v>
      </c>
      <c r="M41" s="38" t="s">
        <v>15</v>
      </c>
    </row>
    <row r="42" spans="1:13" s="39" customFormat="1" ht="38.25" x14ac:dyDescent="0.25">
      <c r="A42" s="34"/>
      <c r="B42" s="35" t="s">
        <v>261</v>
      </c>
      <c r="C42" s="35" t="s">
        <v>99</v>
      </c>
      <c r="D42" s="36" t="s">
        <v>91</v>
      </c>
      <c r="E42" s="35"/>
      <c r="F42" s="37"/>
      <c r="G42" s="37"/>
      <c r="H42" s="37"/>
      <c r="I42" s="37" t="s">
        <v>262</v>
      </c>
      <c r="J42" s="37" t="s">
        <v>263</v>
      </c>
      <c r="K42" s="38" t="s">
        <v>17</v>
      </c>
      <c r="L42" s="38">
        <v>0</v>
      </c>
      <c r="M42" s="38" t="s">
        <v>17</v>
      </c>
    </row>
    <row r="43" spans="1:13" s="39" customFormat="1" x14ac:dyDescent="0.25">
      <c r="A43" s="34"/>
      <c r="B43" s="35" t="s">
        <v>264</v>
      </c>
      <c r="C43" s="35" t="s">
        <v>99</v>
      </c>
      <c r="D43" s="36" t="s">
        <v>91</v>
      </c>
      <c r="E43" s="35"/>
      <c r="F43" s="37"/>
      <c r="G43" s="37"/>
      <c r="H43" s="37"/>
      <c r="I43" s="37" t="s">
        <v>265</v>
      </c>
      <c r="J43" s="37" t="s">
        <v>266</v>
      </c>
      <c r="K43" s="38" t="s">
        <v>17</v>
      </c>
      <c r="L43" s="38">
        <v>0</v>
      </c>
      <c r="M43" s="38" t="s">
        <v>17</v>
      </c>
    </row>
    <row r="44" spans="1:13" s="39" customFormat="1" ht="25.5" x14ac:dyDescent="0.25">
      <c r="A44" s="34"/>
      <c r="B44" s="35" t="s">
        <v>267</v>
      </c>
      <c r="C44" s="35" t="s">
        <v>99</v>
      </c>
      <c r="D44" s="36" t="s">
        <v>91</v>
      </c>
      <c r="E44" s="35"/>
      <c r="F44" s="37"/>
      <c r="G44" s="37"/>
      <c r="H44" s="37"/>
      <c r="I44" s="37" t="s">
        <v>268</v>
      </c>
      <c r="J44" s="37" t="s">
        <v>269</v>
      </c>
      <c r="K44" s="38" t="s">
        <v>55</v>
      </c>
      <c r="L44" s="38">
        <v>0</v>
      </c>
      <c r="M44" s="38" t="s">
        <v>55</v>
      </c>
    </row>
    <row r="45" spans="1:13" s="39" customFormat="1" x14ac:dyDescent="0.25">
      <c r="A45" s="34"/>
      <c r="B45" s="35" t="s">
        <v>270</v>
      </c>
      <c r="C45" s="35" t="s">
        <v>99</v>
      </c>
      <c r="D45" s="36" t="s">
        <v>91</v>
      </c>
      <c r="E45" s="35"/>
      <c r="F45" s="37"/>
      <c r="G45" s="37"/>
      <c r="H45" s="37"/>
      <c r="I45" s="37" t="s">
        <v>80</v>
      </c>
      <c r="J45" s="37" t="s">
        <v>38</v>
      </c>
      <c r="K45" s="38" t="s">
        <v>15</v>
      </c>
      <c r="L45" s="38">
        <v>0</v>
      </c>
      <c r="M45" s="38" t="s">
        <v>15</v>
      </c>
    </row>
    <row r="46" spans="1:13" s="39" customFormat="1" ht="25.5" x14ac:dyDescent="0.25">
      <c r="A46" s="34"/>
      <c r="B46" s="35" t="s">
        <v>271</v>
      </c>
      <c r="C46" s="35" t="s">
        <v>99</v>
      </c>
      <c r="D46" s="36" t="s">
        <v>91</v>
      </c>
      <c r="E46" s="35"/>
      <c r="F46" s="37"/>
      <c r="G46" s="37"/>
      <c r="H46" s="37"/>
      <c r="I46" s="37" t="s">
        <v>272</v>
      </c>
      <c r="J46" s="37" t="s">
        <v>272</v>
      </c>
      <c r="K46" s="38" t="s">
        <v>15</v>
      </c>
      <c r="L46" s="38">
        <v>0</v>
      </c>
      <c r="M46" s="38" t="s">
        <v>15</v>
      </c>
    </row>
    <row r="47" spans="1:13" s="39" customFormat="1" x14ac:dyDescent="0.25">
      <c r="A47" s="34"/>
      <c r="B47" s="35" t="s">
        <v>273</v>
      </c>
      <c r="C47" s="35" t="s">
        <v>99</v>
      </c>
      <c r="D47" s="36" t="s">
        <v>91</v>
      </c>
      <c r="E47" s="35"/>
      <c r="F47" s="37"/>
      <c r="G47" s="37"/>
      <c r="H47" s="37"/>
      <c r="I47" s="37" t="s">
        <v>274</v>
      </c>
      <c r="J47" s="37" t="s">
        <v>275</v>
      </c>
      <c r="K47" s="38" t="s">
        <v>15</v>
      </c>
      <c r="L47" s="38">
        <v>0</v>
      </c>
      <c r="M47" s="38" t="s">
        <v>15</v>
      </c>
    </row>
    <row r="48" spans="1:13" s="39" customFormat="1" x14ac:dyDescent="0.25">
      <c r="A48" s="34"/>
      <c r="B48" s="35" t="s">
        <v>276</v>
      </c>
      <c r="C48" s="35" t="s">
        <v>99</v>
      </c>
      <c r="D48" s="36" t="s">
        <v>91</v>
      </c>
      <c r="E48" s="35"/>
      <c r="F48" s="37"/>
      <c r="G48" s="37"/>
      <c r="H48" s="37"/>
      <c r="I48" s="37" t="s">
        <v>35</v>
      </c>
      <c r="J48" s="37" t="s">
        <v>28</v>
      </c>
      <c r="K48" s="38" t="s">
        <v>17</v>
      </c>
      <c r="L48" s="38">
        <v>1</v>
      </c>
      <c r="M48" s="38" t="s">
        <v>17</v>
      </c>
    </row>
    <row r="49" spans="1:13" s="39" customFormat="1" ht="25.5" x14ac:dyDescent="0.25">
      <c r="A49" s="34">
        <v>9</v>
      </c>
      <c r="B49" s="35" t="s">
        <v>277</v>
      </c>
      <c r="C49" s="35" t="s">
        <v>96</v>
      </c>
      <c r="D49" s="36" t="s">
        <v>83</v>
      </c>
      <c r="E49" s="40" t="s">
        <v>13</v>
      </c>
      <c r="F49" s="37" t="s">
        <v>278</v>
      </c>
      <c r="G49" s="37" t="s">
        <v>279</v>
      </c>
      <c r="H49" s="37" t="s">
        <v>280</v>
      </c>
      <c r="I49" s="37" t="s">
        <v>281</v>
      </c>
      <c r="J49" s="37" t="s">
        <v>282</v>
      </c>
      <c r="K49" s="38" t="s">
        <v>138</v>
      </c>
      <c r="L49" s="38">
        <v>0</v>
      </c>
      <c r="M49" s="38" t="s">
        <v>138</v>
      </c>
    </row>
    <row r="50" spans="1:13" s="39" customFormat="1" x14ac:dyDescent="0.25">
      <c r="A50" s="34"/>
      <c r="B50" s="35" t="s">
        <v>283</v>
      </c>
      <c r="C50" s="35" t="s">
        <v>96</v>
      </c>
      <c r="D50" s="36" t="s">
        <v>83</v>
      </c>
      <c r="E50" s="40"/>
      <c r="F50" s="37"/>
      <c r="G50" s="37"/>
      <c r="H50" s="37"/>
      <c r="I50" s="37" t="s">
        <v>145</v>
      </c>
      <c r="J50" s="37" t="s">
        <v>144</v>
      </c>
      <c r="K50" s="38" t="s">
        <v>15</v>
      </c>
      <c r="L50" s="38">
        <v>1</v>
      </c>
      <c r="M50" s="38" t="s">
        <v>15</v>
      </c>
    </row>
    <row r="51" spans="1:13" s="39" customFormat="1" x14ac:dyDescent="0.25">
      <c r="A51" s="34"/>
      <c r="B51" s="35" t="s">
        <v>284</v>
      </c>
      <c r="C51" s="35" t="s">
        <v>96</v>
      </c>
      <c r="D51" s="36" t="s">
        <v>83</v>
      </c>
      <c r="E51" s="40"/>
      <c r="F51" s="37"/>
      <c r="G51" s="37"/>
      <c r="H51" s="37"/>
      <c r="I51" s="37" t="s">
        <v>285</v>
      </c>
      <c r="J51" s="37" t="s">
        <v>143</v>
      </c>
      <c r="K51" s="38" t="s">
        <v>142</v>
      </c>
      <c r="L51" s="38">
        <v>1</v>
      </c>
      <c r="M51" s="38" t="s">
        <v>139</v>
      </c>
    </row>
    <row r="52" spans="1:13" s="39" customFormat="1" x14ac:dyDescent="0.25">
      <c r="A52" s="34"/>
      <c r="B52" s="35" t="s">
        <v>286</v>
      </c>
      <c r="C52" s="35" t="s">
        <v>96</v>
      </c>
      <c r="D52" s="36" t="s">
        <v>83</v>
      </c>
      <c r="E52" s="40"/>
      <c r="F52" s="37"/>
      <c r="G52" s="37"/>
      <c r="H52" s="37"/>
      <c r="I52" s="37" t="s">
        <v>287</v>
      </c>
      <c r="J52" s="37" t="s">
        <v>287</v>
      </c>
      <c r="K52" s="38" t="s">
        <v>20</v>
      </c>
      <c r="L52" s="38">
        <v>0</v>
      </c>
      <c r="M52" s="38" t="s">
        <v>20</v>
      </c>
    </row>
    <row r="53" spans="1:13" s="39" customFormat="1" x14ac:dyDescent="0.25">
      <c r="A53" s="34"/>
      <c r="B53" s="35" t="s">
        <v>288</v>
      </c>
      <c r="C53" s="35" t="s">
        <v>96</v>
      </c>
      <c r="D53" s="36" t="s">
        <v>83</v>
      </c>
      <c r="E53" s="40"/>
      <c r="F53" s="37"/>
      <c r="G53" s="37"/>
      <c r="H53" s="37"/>
      <c r="I53" s="37" t="s">
        <v>289</v>
      </c>
      <c r="J53" s="37" t="s">
        <v>290</v>
      </c>
      <c r="K53" s="38" t="s">
        <v>15</v>
      </c>
      <c r="L53" s="38">
        <v>1</v>
      </c>
      <c r="M53" s="38" t="s">
        <v>15</v>
      </c>
    </row>
    <row r="54" spans="1:13" s="39" customFormat="1" x14ac:dyDescent="0.25">
      <c r="A54" s="34"/>
      <c r="B54" s="35" t="s">
        <v>291</v>
      </c>
      <c r="C54" s="35" t="s">
        <v>96</v>
      </c>
      <c r="D54" s="36" t="s">
        <v>83</v>
      </c>
      <c r="E54" s="40"/>
      <c r="F54" s="37"/>
      <c r="G54" s="37"/>
      <c r="H54" s="37"/>
      <c r="I54" s="37" t="s">
        <v>141</v>
      </c>
      <c r="J54" s="37" t="s">
        <v>140</v>
      </c>
      <c r="K54" s="38" t="s">
        <v>15</v>
      </c>
      <c r="L54" s="38">
        <v>1</v>
      </c>
      <c r="M54" s="38" t="s">
        <v>15</v>
      </c>
    </row>
    <row r="55" spans="1:13" s="39" customFormat="1" x14ac:dyDescent="0.25">
      <c r="A55" s="34"/>
      <c r="B55" s="35" t="s">
        <v>292</v>
      </c>
      <c r="C55" s="35" t="s">
        <v>96</v>
      </c>
      <c r="D55" s="36" t="s">
        <v>83</v>
      </c>
      <c r="E55" s="40"/>
      <c r="F55" s="37"/>
      <c r="G55" s="37"/>
      <c r="H55" s="37"/>
      <c r="I55" s="37" t="s">
        <v>293</v>
      </c>
      <c r="J55" s="37" t="s">
        <v>294</v>
      </c>
      <c r="K55" s="38" t="s">
        <v>15</v>
      </c>
      <c r="L55" s="38">
        <v>1</v>
      </c>
      <c r="M55" s="38" t="s">
        <v>15</v>
      </c>
    </row>
    <row r="56" spans="1:13" s="39" customFormat="1" ht="25.5" x14ac:dyDescent="0.25">
      <c r="A56" s="34">
        <v>10</v>
      </c>
      <c r="B56" s="35" t="s">
        <v>295</v>
      </c>
      <c r="C56" s="35" t="s">
        <v>81</v>
      </c>
      <c r="D56" s="35" t="s">
        <v>137</v>
      </c>
      <c r="E56" s="40" t="s">
        <v>46</v>
      </c>
      <c r="F56" s="37" t="s">
        <v>296</v>
      </c>
      <c r="G56" s="42" t="s">
        <v>297</v>
      </c>
      <c r="H56" s="37" t="s">
        <v>298</v>
      </c>
      <c r="I56" s="37" t="s">
        <v>299</v>
      </c>
      <c r="J56" s="37" t="s">
        <v>300</v>
      </c>
      <c r="K56" s="38" t="s">
        <v>30</v>
      </c>
      <c r="L56" s="38">
        <v>0</v>
      </c>
      <c r="M56" s="38" t="s">
        <v>30</v>
      </c>
    </row>
    <row r="57" spans="1:13" s="39" customFormat="1" x14ac:dyDescent="0.25">
      <c r="A57" s="34"/>
      <c r="B57" s="35" t="s">
        <v>301</v>
      </c>
      <c r="C57" s="35" t="s">
        <v>81</v>
      </c>
      <c r="D57" s="36" t="s">
        <v>137</v>
      </c>
      <c r="E57" s="35"/>
      <c r="F57" s="37"/>
      <c r="G57" s="42"/>
      <c r="H57" s="37"/>
      <c r="I57" s="37" t="s">
        <v>19</v>
      </c>
      <c r="J57" s="37" t="s">
        <v>19</v>
      </c>
      <c r="K57" s="38" t="s">
        <v>20</v>
      </c>
      <c r="L57" s="38">
        <v>0</v>
      </c>
      <c r="M57" s="38" t="s">
        <v>20</v>
      </c>
    </row>
    <row r="58" spans="1:13" s="39" customFormat="1" ht="25.5" x14ac:dyDescent="0.25">
      <c r="A58" s="34">
        <v>11</v>
      </c>
      <c r="B58" s="35" t="s">
        <v>302</v>
      </c>
      <c r="C58" s="35" t="s">
        <v>78</v>
      </c>
      <c r="D58" s="35" t="s">
        <v>136</v>
      </c>
      <c r="E58" s="35" t="s">
        <v>46</v>
      </c>
      <c r="F58" s="37" t="s">
        <v>303</v>
      </c>
      <c r="G58" s="42" t="s">
        <v>303</v>
      </c>
      <c r="H58" s="37" t="s">
        <v>304</v>
      </c>
      <c r="I58" s="37" t="s">
        <v>19</v>
      </c>
      <c r="J58" s="37" t="s">
        <v>19</v>
      </c>
      <c r="K58" s="38" t="s">
        <v>20</v>
      </c>
      <c r="L58" s="38">
        <v>0</v>
      </c>
      <c r="M58" s="38" t="s">
        <v>20</v>
      </c>
    </row>
    <row r="59" spans="1:13" s="39" customFormat="1" x14ac:dyDescent="0.25">
      <c r="A59" s="34"/>
      <c r="B59" s="35" t="s">
        <v>305</v>
      </c>
      <c r="C59" s="35" t="s">
        <v>78</v>
      </c>
      <c r="D59" s="36" t="s">
        <v>136</v>
      </c>
      <c r="E59" s="40"/>
      <c r="F59" s="37"/>
      <c r="G59" s="42"/>
      <c r="H59" s="37"/>
      <c r="I59" s="37" t="s">
        <v>306</v>
      </c>
      <c r="J59" s="37" t="s">
        <v>306</v>
      </c>
      <c r="K59" s="38" t="s">
        <v>15</v>
      </c>
      <c r="L59" s="38">
        <v>0</v>
      </c>
      <c r="M59" s="38" t="s">
        <v>15</v>
      </c>
    </row>
    <row r="60" spans="1:13" s="39" customFormat="1" ht="25.5" x14ac:dyDescent="0.25">
      <c r="A60" s="34"/>
      <c r="B60" s="35" t="s">
        <v>307</v>
      </c>
      <c r="C60" s="35" t="s">
        <v>78</v>
      </c>
      <c r="D60" s="36" t="s">
        <v>136</v>
      </c>
      <c r="E60" s="40"/>
      <c r="F60" s="37"/>
      <c r="G60" s="42"/>
      <c r="H60" s="37"/>
      <c r="I60" s="37" t="s">
        <v>308</v>
      </c>
      <c r="J60" s="37" t="s">
        <v>308</v>
      </c>
      <c r="K60" s="38" t="s">
        <v>59</v>
      </c>
      <c r="L60" s="38">
        <v>0</v>
      </c>
      <c r="M60" s="38" t="s">
        <v>59</v>
      </c>
    </row>
    <row r="61" spans="1:13" s="39" customFormat="1" ht="25.5" x14ac:dyDescent="0.25">
      <c r="A61" s="34">
        <v>12</v>
      </c>
      <c r="B61" s="35" t="s">
        <v>309</v>
      </c>
      <c r="C61" s="35" t="s">
        <v>74</v>
      </c>
      <c r="D61" s="35" t="s">
        <v>135</v>
      </c>
      <c r="E61" s="40" t="s">
        <v>46</v>
      </c>
      <c r="F61" s="37" t="s">
        <v>310</v>
      </c>
      <c r="G61" s="42" t="s">
        <v>311</v>
      </c>
      <c r="H61" s="37" t="s">
        <v>312</v>
      </c>
      <c r="I61" s="37" t="s">
        <v>192</v>
      </c>
      <c r="J61" s="37" t="s">
        <v>193</v>
      </c>
      <c r="K61" s="38" t="s">
        <v>20</v>
      </c>
      <c r="L61" s="38">
        <v>0</v>
      </c>
      <c r="M61" s="38" t="s">
        <v>20</v>
      </c>
    </row>
    <row r="62" spans="1:13" s="39" customFormat="1" x14ac:dyDescent="0.25">
      <c r="A62" s="34"/>
      <c r="B62" s="35" t="s">
        <v>313</v>
      </c>
      <c r="C62" s="35" t="s">
        <v>74</v>
      </c>
      <c r="D62" s="36" t="s">
        <v>135</v>
      </c>
      <c r="E62" s="35"/>
      <c r="F62" s="37"/>
      <c r="G62" s="42"/>
      <c r="H62" s="37"/>
      <c r="I62" s="37" t="s">
        <v>39</v>
      </c>
      <c r="J62" s="37" t="s">
        <v>32</v>
      </c>
      <c r="K62" s="38" t="s">
        <v>21</v>
      </c>
      <c r="L62" s="38">
        <v>1</v>
      </c>
      <c r="M62" s="38" t="s">
        <v>22</v>
      </c>
    </row>
    <row r="63" spans="1:13" s="39" customFormat="1" x14ac:dyDescent="0.25">
      <c r="A63" s="34"/>
      <c r="B63" s="35" t="s">
        <v>314</v>
      </c>
      <c r="C63" s="35" t="s">
        <v>74</v>
      </c>
      <c r="D63" s="36" t="s">
        <v>135</v>
      </c>
      <c r="E63" s="35"/>
      <c r="F63" s="37"/>
      <c r="G63" s="42"/>
      <c r="H63" s="37"/>
      <c r="I63" s="37" t="s">
        <v>134</v>
      </c>
      <c r="J63" s="37" t="s">
        <v>134</v>
      </c>
      <c r="K63" s="38" t="s">
        <v>26</v>
      </c>
      <c r="L63" s="38">
        <v>0</v>
      </c>
      <c r="M63" s="38" t="s">
        <v>26</v>
      </c>
    </row>
    <row r="64" spans="1:13" s="39" customFormat="1" x14ac:dyDescent="0.25">
      <c r="A64" s="34"/>
      <c r="B64" s="35" t="s">
        <v>315</v>
      </c>
      <c r="C64" s="35" t="s">
        <v>67</v>
      </c>
      <c r="D64" s="35" t="s">
        <v>133</v>
      </c>
      <c r="E64" s="35" t="s">
        <v>46</v>
      </c>
      <c r="F64" s="37" t="s">
        <v>316</v>
      </c>
      <c r="G64" s="42" t="s">
        <v>316</v>
      </c>
      <c r="H64" s="37" t="s">
        <v>317</v>
      </c>
      <c r="I64" s="37" t="s">
        <v>193</v>
      </c>
      <c r="J64" s="37" t="s">
        <v>193</v>
      </c>
      <c r="K64" s="38" t="s">
        <v>20</v>
      </c>
      <c r="L64" s="38">
        <v>0</v>
      </c>
      <c r="M64" s="38" t="s">
        <v>20</v>
      </c>
    </row>
    <row r="65" spans="1:13" s="39" customFormat="1" ht="25.5" x14ac:dyDescent="0.25">
      <c r="A65" s="34">
        <v>13</v>
      </c>
      <c r="B65" s="35" t="s">
        <v>318</v>
      </c>
      <c r="C65" s="35" t="s">
        <v>67</v>
      </c>
      <c r="D65" s="36" t="s">
        <v>133</v>
      </c>
      <c r="E65" s="40"/>
      <c r="F65" s="37"/>
      <c r="G65" s="42"/>
      <c r="H65" s="37"/>
      <c r="I65" s="37" t="s">
        <v>269</v>
      </c>
      <c r="J65" s="37" t="s">
        <v>269</v>
      </c>
      <c r="K65" s="38" t="s">
        <v>55</v>
      </c>
      <c r="L65" s="38">
        <v>0</v>
      </c>
      <c r="M65" s="38" t="s">
        <v>55</v>
      </c>
    </row>
    <row r="66" spans="1:13" s="39" customFormat="1" x14ac:dyDescent="0.25">
      <c r="A66" s="34"/>
      <c r="B66" s="35" t="s">
        <v>319</v>
      </c>
      <c r="C66" s="35" t="s">
        <v>67</v>
      </c>
      <c r="D66" s="36" t="s">
        <v>133</v>
      </c>
      <c r="E66" s="40"/>
      <c r="F66" s="37"/>
      <c r="G66" s="42"/>
      <c r="H66" s="37"/>
      <c r="I66" s="37" t="s">
        <v>38</v>
      </c>
      <c r="J66" s="37" t="s">
        <v>38</v>
      </c>
      <c r="K66" s="38" t="s">
        <v>15</v>
      </c>
      <c r="L66" s="38">
        <v>0</v>
      </c>
      <c r="M66" s="38" t="s">
        <v>15</v>
      </c>
    </row>
    <row r="67" spans="1:13" s="39" customFormat="1" ht="25.5" x14ac:dyDescent="0.25">
      <c r="A67" s="34">
        <v>14</v>
      </c>
      <c r="B67" s="35" t="s">
        <v>320</v>
      </c>
      <c r="C67" s="35" t="s">
        <v>44</v>
      </c>
      <c r="D67" s="35" t="s">
        <v>126</v>
      </c>
      <c r="E67" s="40" t="s">
        <v>46</v>
      </c>
      <c r="F67" s="37" t="s">
        <v>321</v>
      </c>
      <c r="G67" s="42" t="s">
        <v>322</v>
      </c>
      <c r="H67" s="37" t="s">
        <v>323</v>
      </c>
      <c r="I67" s="37" t="s">
        <v>106</v>
      </c>
      <c r="J67" s="37" t="s">
        <v>324</v>
      </c>
      <c r="K67" s="38" t="s">
        <v>20</v>
      </c>
      <c r="L67" s="38">
        <v>0</v>
      </c>
      <c r="M67" s="38" t="s">
        <v>20</v>
      </c>
    </row>
    <row r="68" spans="1:13" s="39" customFormat="1" ht="25.5" x14ac:dyDescent="0.25">
      <c r="A68" s="34"/>
      <c r="B68" s="35" t="s">
        <v>325</v>
      </c>
      <c r="C68" s="35" t="s">
        <v>44</v>
      </c>
      <c r="D68" s="36" t="s">
        <v>126</v>
      </c>
      <c r="E68" s="35"/>
      <c r="F68" s="37"/>
      <c r="G68" s="42"/>
      <c r="H68" s="37"/>
      <c r="I68" s="37" t="s">
        <v>326</v>
      </c>
      <c r="J68" s="37" t="s">
        <v>327</v>
      </c>
      <c r="K68" s="38" t="s">
        <v>30</v>
      </c>
      <c r="L68" s="38">
        <v>0</v>
      </c>
      <c r="M68" s="38" t="s">
        <v>30</v>
      </c>
    </row>
    <row r="69" spans="1:13" s="39" customFormat="1" x14ac:dyDescent="0.25">
      <c r="A69" s="34"/>
      <c r="B69" s="35" t="s">
        <v>328</v>
      </c>
      <c r="C69" s="35" t="s">
        <v>44</v>
      </c>
      <c r="D69" s="36" t="s">
        <v>126</v>
      </c>
      <c r="E69" s="35"/>
      <c r="F69" s="37"/>
      <c r="G69" s="42"/>
      <c r="H69" s="37"/>
      <c r="I69" s="37" t="s">
        <v>329</v>
      </c>
      <c r="J69" s="37" t="s">
        <v>330</v>
      </c>
      <c r="K69" s="38" t="s">
        <v>21</v>
      </c>
      <c r="L69" s="38">
        <v>1</v>
      </c>
      <c r="M69" s="38" t="s">
        <v>22</v>
      </c>
    </row>
    <row r="70" spans="1:13" s="39" customFormat="1" ht="25.5" x14ac:dyDescent="0.25">
      <c r="A70" s="34"/>
      <c r="B70" s="35" t="s">
        <v>331</v>
      </c>
      <c r="C70" s="35" t="s">
        <v>44</v>
      </c>
      <c r="D70" s="36" t="s">
        <v>126</v>
      </c>
      <c r="E70" s="35"/>
      <c r="F70" s="37"/>
      <c r="G70" s="42"/>
      <c r="H70" s="37"/>
      <c r="I70" s="41" t="s">
        <v>332</v>
      </c>
      <c r="J70" s="37" t="s">
        <v>333</v>
      </c>
      <c r="K70" s="38" t="s">
        <v>15</v>
      </c>
      <c r="L70" s="38">
        <v>1</v>
      </c>
      <c r="M70" s="38" t="s">
        <v>15</v>
      </c>
    </row>
    <row r="71" spans="1:13" s="39" customFormat="1" ht="63.75" x14ac:dyDescent="0.25">
      <c r="A71" s="34">
        <v>15</v>
      </c>
      <c r="B71" s="35" t="s">
        <v>334</v>
      </c>
      <c r="C71" s="35" t="s">
        <v>177</v>
      </c>
      <c r="D71" s="35" t="s">
        <v>123</v>
      </c>
      <c r="E71" s="35" t="s">
        <v>46</v>
      </c>
      <c r="F71" s="37" t="s">
        <v>335</v>
      </c>
      <c r="G71" s="42" t="s">
        <v>336</v>
      </c>
      <c r="H71" s="37" t="s">
        <v>337</v>
      </c>
      <c r="I71" s="37" t="s">
        <v>338</v>
      </c>
      <c r="J71" s="37" t="s">
        <v>339</v>
      </c>
      <c r="K71" s="38" t="s">
        <v>20</v>
      </c>
      <c r="L71" s="38">
        <v>0</v>
      </c>
      <c r="M71" s="38" t="s">
        <v>20</v>
      </c>
    </row>
    <row r="72" spans="1:13" s="39" customFormat="1" x14ac:dyDescent="0.25">
      <c r="A72" s="34"/>
      <c r="B72" s="35" t="s">
        <v>340</v>
      </c>
      <c r="C72" s="35" t="s">
        <v>177</v>
      </c>
      <c r="D72" s="36" t="s">
        <v>123</v>
      </c>
      <c r="E72" s="40"/>
      <c r="F72" s="37"/>
      <c r="G72" s="42"/>
      <c r="H72" s="37"/>
      <c r="I72" s="37" t="s">
        <v>120</v>
      </c>
      <c r="J72" s="37" t="s">
        <v>19</v>
      </c>
      <c r="K72" s="38" t="s">
        <v>20</v>
      </c>
      <c r="L72" s="38">
        <v>0</v>
      </c>
      <c r="M72" s="38" t="s">
        <v>20</v>
      </c>
    </row>
    <row r="73" spans="1:13" s="39" customFormat="1" x14ac:dyDescent="0.25">
      <c r="A73" s="34"/>
      <c r="B73" s="35" t="s">
        <v>341</v>
      </c>
      <c r="C73" s="35" t="s">
        <v>177</v>
      </c>
      <c r="D73" s="36" t="s">
        <v>123</v>
      </c>
      <c r="E73" s="40"/>
      <c r="F73" s="37"/>
      <c r="G73" s="42"/>
      <c r="H73" s="37"/>
      <c r="I73" s="37" t="s">
        <v>342</v>
      </c>
      <c r="J73" s="37" t="s">
        <v>343</v>
      </c>
      <c r="K73" s="38" t="s">
        <v>15</v>
      </c>
      <c r="L73" s="38">
        <v>0</v>
      </c>
      <c r="M73" s="38" t="s">
        <v>15</v>
      </c>
    </row>
    <row r="74" spans="1:13" s="39" customFormat="1" ht="25.5" x14ac:dyDescent="0.25">
      <c r="A74" s="34"/>
      <c r="B74" s="35" t="s">
        <v>344</v>
      </c>
      <c r="C74" s="35" t="s">
        <v>177</v>
      </c>
      <c r="D74" s="36" t="s">
        <v>123</v>
      </c>
      <c r="E74" s="40"/>
      <c r="F74" s="37"/>
      <c r="G74" s="42"/>
      <c r="H74" s="37"/>
      <c r="I74" s="37" t="s">
        <v>345</v>
      </c>
      <c r="J74" s="37" t="s">
        <v>346</v>
      </c>
      <c r="K74" s="38" t="s">
        <v>15</v>
      </c>
      <c r="L74" s="38">
        <v>0</v>
      </c>
      <c r="M74" s="38" t="s">
        <v>15</v>
      </c>
    </row>
    <row r="75" spans="1:13" s="39" customFormat="1" x14ac:dyDescent="0.25">
      <c r="A75" s="34"/>
      <c r="B75" s="35" t="s">
        <v>347</v>
      </c>
      <c r="C75" s="35" t="s">
        <v>177</v>
      </c>
      <c r="D75" s="36" t="s">
        <v>123</v>
      </c>
      <c r="E75" s="40"/>
      <c r="F75" s="37"/>
      <c r="G75" s="42"/>
      <c r="H75" s="37"/>
      <c r="I75" s="37" t="s">
        <v>348</v>
      </c>
      <c r="J75" s="37" t="s">
        <v>105</v>
      </c>
      <c r="K75" s="38" t="s">
        <v>15</v>
      </c>
      <c r="L75" s="38">
        <v>1</v>
      </c>
      <c r="M75" s="38" t="s">
        <v>15</v>
      </c>
    </row>
    <row r="76" spans="1:13" s="39" customFormat="1" x14ac:dyDescent="0.25">
      <c r="A76" s="34"/>
      <c r="B76" s="35" t="s">
        <v>349</v>
      </c>
      <c r="C76" s="35" t="s">
        <v>177</v>
      </c>
      <c r="D76" s="36" t="s">
        <v>123</v>
      </c>
      <c r="E76" s="40"/>
      <c r="F76" s="37"/>
      <c r="G76" s="42"/>
      <c r="H76" s="37"/>
      <c r="I76" s="37" t="s">
        <v>58</v>
      </c>
      <c r="J76" s="37" t="s">
        <v>57</v>
      </c>
      <c r="K76" s="38" t="s">
        <v>15</v>
      </c>
      <c r="L76" s="38">
        <v>1</v>
      </c>
      <c r="M76" s="38" t="s">
        <v>15</v>
      </c>
    </row>
    <row r="77" spans="1:13" s="39" customFormat="1" ht="25.5" x14ac:dyDescent="0.25">
      <c r="A77" s="34"/>
      <c r="B77" s="35" t="s">
        <v>350</v>
      </c>
      <c r="C77" s="35" t="s">
        <v>177</v>
      </c>
      <c r="D77" s="36" t="s">
        <v>123</v>
      </c>
      <c r="E77" s="40"/>
      <c r="F77" s="37"/>
      <c r="G77" s="42"/>
      <c r="H77" s="37"/>
      <c r="I77" s="37" t="s">
        <v>351</v>
      </c>
      <c r="J77" s="37" t="s">
        <v>121</v>
      </c>
      <c r="K77" s="38" t="s">
        <v>56</v>
      </c>
      <c r="L77" s="38">
        <v>1</v>
      </c>
      <c r="M77" s="38" t="s">
        <v>55</v>
      </c>
    </row>
    <row r="78" spans="1:13" s="39" customFormat="1" x14ac:dyDescent="0.25">
      <c r="A78" s="34"/>
      <c r="B78" s="35" t="s">
        <v>352</v>
      </c>
      <c r="C78" s="35" t="s">
        <v>177</v>
      </c>
      <c r="D78" s="36" t="s">
        <v>123</v>
      </c>
      <c r="E78" s="40"/>
      <c r="F78" s="37"/>
      <c r="G78" s="42"/>
      <c r="H78" s="37"/>
      <c r="I78" s="37" t="s">
        <v>353</v>
      </c>
      <c r="J78" s="37" t="s">
        <v>354</v>
      </c>
      <c r="K78" s="38" t="s">
        <v>15</v>
      </c>
      <c r="L78" s="38">
        <v>0</v>
      </c>
      <c r="M78" s="38" t="s">
        <v>15</v>
      </c>
    </row>
    <row r="79" spans="1:13" s="39" customFormat="1" ht="25.5" x14ac:dyDescent="0.25">
      <c r="A79" s="34"/>
      <c r="B79" s="35" t="s">
        <v>355</v>
      </c>
      <c r="C79" s="35" t="s">
        <v>177</v>
      </c>
      <c r="D79" s="36" t="s">
        <v>123</v>
      </c>
      <c r="E79" s="40"/>
      <c r="F79" s="37"/>
      <c r="G79" s="42"/>
      <c r="H79" s="37"/>
      <c r="I79" s="37" t="s">
        <v>356</v>
      </c>
      <c r="J79" s="37" t="s">
        <v>357</v>
      </c>
      <c r="K79" s="38" t="s">
        <v>358</v>
      </c>
      <c r="L79" s="38">
        <v>1</v>
      </c>
      <c r="M79" s="38" t="s">
        <v>30</v>
      </c>
    </row>
    <row r="80" spans="1:13" s="39" customFormat="1" x14ac:dyDescent="0.25">
      <c r="A80" s="34"/>
      <c r="B80" s="35" t="s">
        <v>359</v>
      </c>
      <c r="C80" s="35" t="s">
        <v>177</v>
      </c>
      <c r="D80" s="36" t="s">
        <v>123</v>
      </c>
      <c r="E80" s="40"/>
      <c r="F80" s="37"/>
      <c r="G80" s="42"/>
      <c r="H80" s="37"/>
      <c r="I80" s="37" t="s">
        <v>125</v>
      </c>
      <c r="J80" s="37" t="s">
        <v>124</v>
      </c>
      <c r="K80" s="38" t="s">
        <v>69</v>
      </c>
      <c r="L80" s="38">
        <v>0</v>
      </c>
      <c r="M80" s="38" t="s">
        <v>69</v>
      </c>
    </row>
    <row r="81" spans="1:13" s="39" customFormat="1" x14ac:dyDescent="0.25">
      <c r="A81" s="34"/>
      <c r="B81" s="35" t="s">
        <v>360</v>
      </c>
      <c r="C81" s="35" t="s">
        <v>177</v>
      </c>
      <c r="D81" s="36" t="s">
        <v>123</v>
      </c>
      <c r="E81" s="40"/>
      <c r="F81" s="37"/>
      <c r="G81" s="42"/>
      <c r="H81" s="37"/>
      <c r="I81" s="37" t="s">
        <v>39</v>
      </c>
      <c r="J81" s="37" t="s">
        <v>32</v>
      </c>
      <c r="K81" s="38" t="s">
        <v>21</v>
      </c>
      <c r="L81" s="38">
        <v>1</v>
      </c>
      <c r="M81" s="38" t="s">
        <v>22</v>
      </c>
    </row>
    <row r="82" spans="1:13" s="39" customFormat="1" x14ac:dyDescent="0.25">
      <c r="A82" s="34"/>
      <c r="B82" s="35" t="s">
        <v>361</v>
      </c>
      <c r="C82" s="35" t="s">
        <v>177</v>
      </c>
      <c r="D82" s="36" t="s">
        <v>123</v>
      </c>
      <c r="E82" s="40"/>
      <c r="F82" s="37"/>
      <c r="G82" s="42"/>
      <c r="H82" s="37"/>
      <c r="I82" s="37" t="s">
        <v>23</v>
      </c>
      <c r="J82" s="37" t="s">
        <v>24</v>
      </c>
      <c r="K82" s="38" t="s">
        <v>25</v>
      </c>
      <c r="L82" s="38">
        <v>1</v>
      </c>
      <c r="M82" s="38" t="s">
        <v>26</v>
      </c>
    </row>
    <row r="83" spans="1:13" s="39" customFormat="1" x14ac:dyDescent="0.25">
      <c r="A83" s="34"/>
      <c r="B83" s="35" t="s">
        <v>362</v>
      </c>
      <c r="C83" s="35" t="s">
        <v>177</v>
      </c>
      <c r="D83" s="36" t="s">
        <v>123</v>
      </c>
      <c r="E83" s="40"/>
      <c r="F83" s="37"/>
      <c r="G83" s="42"/>
      <c r="H83" s="37"/>
      <c r="I83" s="37" t="s">
        <v>363</v>
      </c>
      <c r="J83" s="37" t="s">
        <v>364</v>
      </c>
      <c r="K83" s="38" t="s">
        <v>15</v>
      </c>
      <c r="L83" s="38">
        <v>1</v>
      </c>
      <c r="M83" s="38" t="s">
        <v>15</v>
      </c>
    </row>
    <row r="84" spans="1:13" s="39" customFormat="1" ht="38.25" x14ac:dyDescent="0.25">
      <c r="A84" s="34">
        <v>16</v>
      </c>
      <c r="B84" s="35" t="s">
        <v>365</v>
      </c>
      <c r="C84" s="35" t="s">
        <v>180</v>
      </c>
      <c r="D84" s="35" t="s">
        <v>122</v>
      </c>
      <c r="E84" s="40" t="s">
        <v>46</v>
      </c>
      <c r="F84" s="37" t="s">
        <v>366</v>
      </c>
      <c r="G84" s="42" t="s">
        <v>367</v>
      </c>
      <c r="H84" s="37" t="s">
        <v>368</v>
      </c>
      <c r="I84" s="37" t="s">
        <v>369</v>
      </c>
      <c r="J84" s="37" t="s">
        <v>370</v>
      </c>
      <c r="K84" s="38" t="s">
        <v>15</v>
      </c>
      <c r="L84" s="38">
        <v>0</v>
      </c>
      <c r="M84" s="38" t="s">
        <v>15</v>
      </c>
    </row>
    <row r="85" spans="1:13" s="39" customFormat="1" x14ac:dyDescent="0.25">
      <c r="A85" s="34"/>
      <c r="B85" s="35" t="s">
        <v>371</v>
      </c>
      <c r="C85" s="35" t="s">
        <v>180</v>
      </c>
      <c r="D85" s="36" t="s">
        <v>122</v>
      </c>
      <c r="E85" s="40"/>
      <c r="F85" s="37"/>
      <c r="G85" s="42"/>
      <c r="H85" s="37"/>
      <c r="I85" s="37" t="s">
        <v>52</v>
      </c>
      <c r="J85" s="37" t="s">
        <v>51</v>
      </c>
      <c r="K85" s="38" t="s">
        <v>22</v>
      </c>
      <c r="L85" s="38">
        <v>0</v>
      </c>
      <c r="M85" s="38" t="s">
        <v>22</v>
      </c>
    </row>
    <row r="86" spans="1:13" s="39" customFormat="1" x14ac:dyDescent="0.25">
      <c r="A86" s="34"/>
      <c r="B86" s="35" t="s">
        <v>372</v>
      </c>
      <c r="C86" s="35" t="s">
        <v>180</v>
      </c>
      <c r="D86" s="36" t="s">
        <v>122</v>
      </c>
      <c r="E86" s="40"/>
      <c r="F86" s="37"/>
      <c r="G86" s="42"/>
      <c r="H86" s="37"/>
      <c r="I86" s="37" t="s">
        <v>48</v>
      </c>
      <c r="J86" s="37" t="s">
        <v>47</v>
      </c>
      <c r="K86" s="38" t="s">
        <v>25</v>
      </c>
      <c r="L86" s="38">
        <v>1</v>
      </c>
      <c r="M86" s="38" t="s">
        <v>26</v>
      </c>
    </row>
    <row r="87" spans="1:13" s="39" customFormat="1" x14ac:dyDescent="0.25">
      <c r="A87" s="34"/>
      <c r="B87" s="35" t="s">
        <v>373</v>
      </c>
      <c r="C87" s="35" t="s">
        <v>180</v>
      </c>
      <c r="D87" s="36" t="s">
        <v>122</v>
      </c>
      <c r="E87" s="40"/>
      <c r="F87" s="37"/>
      <c r="G87" s="42"/>
      <c r="H87" s="37"/>
      <c r="I87" s="37" t="s">
        <v>374</v>
      </c>
      <c r="J87" s="37" t="s">
        <v>375</v>
      </c>
      <c r="K87" s="38" t="s">
        <v>59</v>
      </c>
      <c r="L87" s="38">
        <v>0</v>
      </c>
      <c r="M87" s="38" t="s">
        <v>59</v>
      </c>
    </row>
    <row r="88" spans="1:13" s="39" customFormat="1" x14ac:dyDescent="0.25">
      <c r="A88" s="34"/>
      <c r="B88" s="35" t="s">
        <v>376</v>
      </c>
      <c r="C88" s="35" t="s">
        <v>180</v>
      </c>
      <c r="D88" s="36" t="s">
        <v>122</v>
      </c>
      <c r="E88" s="40"/>
      <c r="F88" s="37"/>
      <c r="G88" s="42"/>
      <c r="H88" s="37"/>
      <c r="I88" s="37" t="s">
        <v>86</v>
      </c>
      <c r="J88" s="37" t="s">
        <v>151</v>
      </c>
      <c r="K88" s="38" t="s">
        <v>15</v>
      </c>
      <c r="L88" s="38">
        <v>1</v>
      </c>
      <c r="M88" s="38" t="s">
        <v>15</v>
      </c>
    </row>
    <row r="89" spans="1:13" s="39" customFormat="1" x14ac:dyDescent="0.25">
      <c r="A89" s="34"/>
      <c r="B89" s="35" t="s">
        <v>377</v>
      </c>
      <c r="C89" s="35" t="s">
        <v>180</v>
      </c>
      <c r="D89" s="36" t="s">
        <v>122</v>
      </c>
      <c r="E89" s="40"/>
      <c r="F89" s="37"/>
      <c r="G89" s="42"/>
      <c r="H89" s="37"/>
      <c r="I89" s="37" t="s">
        <v>378</v>
      </c>
      <c r="J89" s="37" t="s">
        <v>379</v>
      </c>
      <c r="K89" s="38" t="s">
        <v>15</v>
      </c>
      <c r="L89" s="38">
        <v>1</v>
      </c>
      <c r="M89" s="38" t="s">
        <v>15</v>
      </c>
    </row>
    <row r="90" spans="1:13" s="39" customFormat="1" ht="25.5" x14ac:dyDescent="0.25">
      <c r="A90" s="34"/>
      <c r="B90" s="35" t="s">
        <v>380</v>
      </c>
      <c r="C90" s="35" t="s">
        <v>180</v>
      </c>
      <c r="D90" s="36" t="s">
        <v>122</v>
      </c>
      <c r="E90" s="40"/>
      <c r="F90" s="37"/>
      <c r="G90" s="42"/>
      <c r="H90" s="37"/>
      <c r="I90" s="37" t="s">
        <v>381</v>
      </c>
      <c r="J90" s="37" t="s">
        <v>382</v>
      </c>
      <c r="K90" s="38" t="s">
        <v>15</v>
      </c>
      <c r="L90" s="38">
        <v>0</v>
      </c>
      <c r="M90" s="38" t="s">
        <v>15</v>
      </c>
    </row>
    <row r="91" spans="1:13" s="39" customFormat="1" x14ac:dyDescent="0.25">
      <c r="A91" s="34"/>
      <c r="B91" s="35" t="s">
        <v>383</v>
      </c>
      <c r="C91" s="35" t="s">
        <v>180</v>
      </c>
      <c r="D91" s="36" t="s">
        <v>122</v>
      </c>
      <c r="E91" s="40"/>
      <c r="F91" s="37"/>
      <c r="G91" s="42"/>
      <c r="H91" s="37"/>
      <c r="I91" s="37" t="s">
        <v>384</v>
      </c>
      <c r="J91" s="37" t="s">
        <v>384</v>
      </c>
      <c r="K91" s="38" t="s">
        <v>59</v>
      </c>
      <c r="L91" s="38">
        <v>0</v>
      </c>
      <c r="M91" s="38" t="s">
        <v>59</v>
      </c>
    </row>
    <row r="92" spans="1:13" s="39" customFormat="1" x14ac:dyDescent="0.25">
      <c r="A92" s="34"/>
      <c r="B92" s="35" t="s">
        <v>385</v>
      </c>
      <c r="C92" s="35" t="s">
        <v>180</v>
      </c>
      <c r="D92" s="36" t="s">
        <v>122</v>
      </c>
      <c r="E92" s="40"/>
      <c r="F92" s="37"/>
      <c r="G92" s="42"/>
      <c r="H92" s="37"/>
      <c r="I92" s="37" t="s">
        <v>386</v>
      </c>
      <c r="J92" s="37" t="s">
        <v>387</v>
      </c>
      <c r="K92" s="38" t="s">
        <v>17</v>
      </c>
      <c r="L92" s="38">
        <v>0</v>
      </c>
      <c r="M92" s="38" t="s">
        <v>17</v>
      </c>
    </row>
    <row r="93" spans="1:13" s="39" customFormat="1" x14ac:dyDescent="0.25">
      <c r="A93" s="34"/>
      <c r="B93" s="35" t="s">
        <v>388</v>
      </c>
      <c r="C93" s="35" t="s">
        <v>180</v>
      </c>
      <c r="D93" s="36" t="s">
        <v>122</v>
      </c>
      <c r="E93" s="40"/>
      <c r="F93" s="37"/>
      <c r="G93" s="42"/>
      <c r="H93" s="37"/>
      <c r="I93" s="37" t="s">
        <v>389</v>
      </c>
      <c r="J93" s="37" t="s">
        <v>390</v>
      </c>
      <c r="K93" s="38" t="s">
        <v>15</v>
      </c>
      <c r="L93" s="38">
        <v>0</v>
      </c>
      <c r="M93" s="38" t="s">
        <v>15</v>
      </c>
    </row>
    <row r="94" spans="1:13" s="39" customFormat="1" x14ac:dyDescent="0.25">
      <c r="A94" s="34"/>
      <c r="B94" s="35" t="s">
        <v>391</v>
      </c>
      <c r="C94" s="35" t="s">
        <v>180</v>
      </c>
      <c r="D94" s="36" t="s">
        <v>122</v>
      </c>
      <c r="E94" s="40"/>
      <c r="F94" s="37"/>
      <c r="G94" s="42"/>
      <c r="H94" s="37"/>
      <c r="I94" s="37" t="s">
        <v>392</v>
      </c>
      <c r="J94" s="37" t="s">
        <v>393</v>
      </c>
      <c r="K94" s="38" t="s">
        <v>17</v>
      </c>
      <c r="L94" s="38">
        <v>0</v>
      </c>
      <c r="M94" s="38" t="s">
        <v>17</v>
      </c>
    </row>
    <row r="95" spans="1:13" s="39" customFormat="1" ht="25.5" x14ac:dyDescent="0.25">
      <c r="A95" s="34">
        <v>17</v>
      </c>
      <c r="B95" s="35" t="s">
        <v>394</v>
      </c>
      <c r="C95" s="35" t="s">
        <v>114</v>
      </c>
      <c r="D95" s="35" t="s">
        <v>113</v>
      </c>
      <c r="E95" s="40" t="s">
        <v>46</v>
      </c>
      <c r="F95" s="37" t="s">
        <v>395</v>
      </c>
      <c r="G95" s="42" t="s">
        <v>396</v>
      </c>
      <c r="H95" s="37" t="s">
        <v>397</v>
      </c>
      <c r="I95" s="37" t="s">
        <v>398</v>
      </c>
      <c r="J95" s="37" t="s">
        <v>399</v>
      </c>
      <c r="K95" s="38" t="s">
        <v>15</v>
      </c>
      <c r="L95" s="38">
        <v>0</v>
      </c>
      <c r="M95" s="38" t="s">
        <v>15</v>
      </c>
    </row>
    <row r="96" spans="1:13" s="39" customFormat="1" x14ac:dyDescent="0.25">
      <c r="A96" s="34"/>
      <c r="B96" s="35" t="s">
        <v>400</v>
      </c>
      <c r="C96" s="35" t="s">
        <v>114</v>
      </c>
      <c r="D96" s="36" t="s">
        <v>113</v>
      </c>
      <c r="E96" s="35"/>
      <c r="F96" s="37"/>
      <c r="G96" s="42"/>
      <c r="H96" s="37"/>
      <c r="I96" s="37" t="s">
        <v>401</v>
      </c>
      <c r="J96" s="37" t="s">
        <v>402</v>
      </c>
      <c r="K96" s="38" t="s">
        <v>15</v>
      </c>
      <c r="L96" s="38">
        <v>1</v>
      </c>
      <c r="M96" s="38" t="s">
        <v>15</v>
      </c>
    </row>
    <row r="97" spans="1:13" s="39" customFormat="1" ht="25.5" x14ac:dyDescent="0.25">
      <c r="A97" s="34"/>
      <c r="B97" s="35" t="s">
        <v>403</v>
      </c>
      <c r="C97" s="35" t="s">
        <v>114</v>
      </c>
      <c r="D97" s="36" t="s">
        <v>113</v>
      </c>
      <c r="E97" s="35"/>
      <c r="F97" s="37"/>
      <c r="G97" s="42"/>
      <c r="H97" s="37"/>
      <c r="I97" s="37" t="s">
        <v>404</v>
      </c>
      <c r="J97" s="37" t="s">
        <v>405</v>
      </c>
      <c r="K97" s="38" t="s">
        <v>82</v>
      </c>
      <c r="L97" s="38">
        <v>0</v>
      </c>
      <c r="M97" s="38" t="s">
        <v>82</v>
      </c>
    </row>
    <row r="98" spans="1:13" s="39" customFormat="1" x14ac:dyDescent="0.25">
      <c r="A98" s="34"/>
      <c r="B98" s="35" t="s">
        <v>406</v>
      </c>
      <c r="C98" s="35" t="s">
        <v>114</v>
      </c>
      <c r="D98" s="36" t="s">
        <v>113</v>
      </c>
      <c r="E98" s="35"/>
      <c r="F98" s="37"/>
      <c r="G98" s="42"/>
      <c r="H98" s="37"/>
      <c r="I98" s="37" t="s">
        <v>52</v>
      </c>
      <c r="J98" s="37" t="s">
        <v>37</v>
      </c>
      <c r="K98" s="38" t="s">
        <v>22</v>
      </c>
      <c r="L98" s="38">
        <v>0</v>
      </c>
      <c r="M98" s="38" t="s">
        <v>22</v>
      </c>
    </row>
    <row r="99" spans="1:13" s="39" customFormat="1" ht="38.25" x14ac:dyDescent="0.25">
      <c r="A99" s="34">
        <v>18</v>
      </c>
      <c r="B99" s="35" t="s">
        <v>407</v>
      </c>
      <c r="C99" s="35" t="s">
        <v>110</v>
      </c>
      <c r="D99" s="35" t="s">
        <v>109</v>
      </c>
      <c r="E99" s="35" t="s">
        <v>46</v>
      </c>
      <c r="F99" s="37" t="s">
        <v>408</v>
      </c>
      <c r="G99" s="42" t="s">
        <v>409</v>
      </c>
      <c r="H99" s="37" t="s">
        <v>410</v>
      </c>
      <c r="I99" s="37" t="s">
        <v>411</v>
      </c>
      <c r="J99" s="37" t="s">
        <v>411</v>
      </c>
      <c r="K99" s="38" t="s">
        <v>29</v>
      </c>
      <c r="L99" s="38">
        <v>0</v>
      </c>
      <c r="M99" s="38" t="s">
        <v>29</v>
      </c>
    </row>
    <row r="100" spans="1:13" s="39" customFormat="1" x14ac:dyDescent="0.25">
      <c r="A100" s="34"/>
      <c r="B100" s="35" t="s">
        <v>412</v>
      </c>
      <c r="C100" s="35" t="s">
        <v>110</v>
      </c>
      <c r="D100" s="36" t="s">
        <v>109</v>
      </c>
      <c r="E100" s="40"/>
      <c r="F100" s="37"/>
      <c r="G100" s="42"/>
      <c r="H100" s="37"/>
      <c r="I100" s="41" t="s">
        <v>112</v>
      </c>
      <c r="J100" s="37" t="s">
        <v>111</v>
      </c>
      <c r="K100" s="38" t="s">
        <v>82</v>
      </c>
      <c r="L100" s="38">
        <v>0</v>
      </c>
      <c r="M100" s="38" t="s">
        <v>82</v>
      </c>
    </row>
    <row r="101" spans="1:13" s="39" customFormat="1" x14ac:dyDescent="0.25">
      <c r="A101" s="34"/>
      <c r="B101" s="35" t="s">
        <v>413</v>
      </c>
      <c r="C101" s="35" t="s">
        <v>110</v>
      </c>
      <c r="D101" s="36" t="s">
        <v>109</v>
      </c>
      <c r="E101" s="40"/>
      <c r="F101" s="37"/>
      <c r="G101" s="42"/>
      <c r="H101" s="37"/>
      <c r="I101" s="37" t="s">
        <v>34</v>
      </c>
      <c r="J101" s="37" t="s">
        <v>32</v>
      </c>
      <c r="K101" s="38" t="s">
        <v>21</v>
      </c>
      <c r="L101" s="38">
        <v>1</v>
      </c>
      <c r="M101" s="38" t="s">
        <v>22</v>
      </c>
    </row>
    <row r="102" spans="1:13" s="39" customFormat="1" x14ac:dyDescent="0.25">
      <c r="A102" s="34"/>
      <c r="B102" s="35" t="s">
        <v>414</v>
      </c>
      <c r="C102" s="35" t="s">
        <v>110</v>
      </c>
      <c r="D102" s="36" t="s">
        <v>109</v>
      </c>
      <c r="E102" s="40"/>
      <c r="F102" s="37"/>
      <c r="G102" s="42"/>
      <c r="H102" s="37"/>
      <c r="I102" s="37" t="s">
        <v>415</v>
      </c>
      <c r="J102" s="37" t="s">
        <v>416</v>
      </c>
      <c r="K102" s="38" t="s">
        <v>15</v>
      </c>
      <c r="L102" s="38">
        <v>0</v>
      </c>
      <c r="M102" s="38" t="s">
        <v>15</v>
      </c>
    </row>
    <row r="103" spans="1:13" s="39" customFormat="1" ht="25.5" x14ac:dyDescent="0.25">
      <c r="A103" s="34"/>
      <c r="B103" s="35" t="s">
        <v>417</v>
      </c>
      <c r="C103" s="35" t="s">
        <v>110</v>
      </c>
      <c r="D103" s="36" t="s">
        <v>109</v>
      </c>
      <c r="E103" s="40"/>
      <c r="F103" s="37"/>
      <c r="G103" s="42"/>
      <c r="H103" s="37"/>
      <c r="I103" s="37" t="s">
        <v>418</v>
      </c>
      <c r="J103" s="37" t="s">
        <v>418</v>
      </c>
      <c r="K103" s="38" t="s">
        <v>17</v>
      </c>
      <c r="L103" s="38">
        <v>0</v>
      </c>
      <c r="M103" s="38" t="s">
        <v>17</v>
      </c>
    </row>
    <row r="104" spans="1:13" s="39" customFormat="1" x14ac:dyDescent="0.25">
      <c r="A104" s="34"/>
      <c r="B104" s="35" t="s">
        <v>419</v>
      </c>
      <c r="C104" s="35" t="s">
        <v>110</v>
      </c>
      <c r="D104" s="36" t="s">
        <v>109</v>
      </c>
      <c r="E104" s="40"/>
      <c r="F104" s="37"/>
      <c r="G104" s="42"/>
      <c r="H104" s="37"/>
      <c r="I104" s="37" t="s">
        <v>420</v>
      </c>
      <c r="J104" s="37" t="s">
        <v>421</v>
      </c>
      <c r="K104" s="38" t="s">
        <v>15</v>
      </c>
      <c r="L104" s="38">
        <v>0</v>
      </c>
      <c r="M104" s="38" t="s">
        <v>15</v>
      </c>
    </row>
    <row r="105" spans="1:13" s="39" customFormat="1" x14ac:dyDescent="0.25">
      <c r="A105" s="34"/>
      <c r="B105" s="35" t="s">
        <v>422</v>
      </c>
      <c r="C105" s="35" t="s">
        <v>110</v>
      </c>
      <c r="D105" s="36" t="s">
        <v>109</v>
      </c>
      <c r="E105" s="40"/>
      <c r="F105" s="37"/>
      <c r="G105" s="42"/>
      <c r="H105" s="37"/>
      <c r="I105" s="37" t="s">
        <v>423</v>
      </c>
      <c r="J105" s="37" t="s">
        <v>424</v>
      </c>
      <c r="K105" s="38" t="s">
        <v>15</v>
      </c>
      <c r="L105" s="38">
        <v>0</v>
      </c>
      <c r="M105" s="38" t="s">
        <v>15</v>
      </c>
    </row>
    <row r="106" spans="1:13" s="39" customFormat="1" ht="25.5" x14ac:dyDescent="0.25">
      <c r="A106" s="34"/>
      <c r="B106" s="35" t="s">
        <v>425</v>
      </c>
      <c r="C106" s="35" t="s">
        <v>110</v>
      </c>
      <c r="D106" s="36" t="s">
        <v>109</v>
      </c>
      <c r="E106" s="40"/>
      <c r="F106" s="37"/>
      <c r="G106" s="42"/>
      <c r="H106" s="37"/>
      <c r="I106" s="37" t="s">
        <v>426</v>
      </c>
      <c r="J106" s="37" t="s">
        <v>427</v>
      </c>
      <c r="K106" s="38" t="s">
        <v>15</v>
      </c>
      <c r="L106" s="38">
        <v>0</v>
      </c>
      <c r="M106" s="38" t="s">
        <v>15</v>
      </c>
    </row>
    <row r="107" spans="1:13" s="39" customFormat="1" x14ac:dyDescent="0.25">
      <c r="A107" s="34"/>
      <c r="B107" s="35" t="s">
        <v>428</v>
      </c>
      <c r="C107" s="35" t="s">
        <v>110</v>
      </c>
      <c r="D107" s="36" t="s">
        <v>109</v>
      </c>
      <c r="E107" s="40"/>
      <c r="F107" s="37"/>
      <c r="G107" s="42"/>
      <c r="H107" s="37"/>
      <c r="I107" s="37" t="s">
        <v>429</v>
      </c>
      <c r="J107" s="37" t="s">
        <v>430</v>
      </c>
      <c r="K107" s="38" t="s">
        <v>15</v>
      </c>
      <c r="L107" s="38">
        <v>0</v>
      </c>
      <c r="M107" s="38" t="s">
        <v>15</v>
      </c>
    </row>
    <row r="108" spans="1:13" s="39" customFormat="1" ht="38.25" x14ac:dyDescent="0.25">
      <c r="A108" s="34">
        <v>19</v>
      </c>
      <c r="B108" s="35" t="s">
        <v>431</v>
      </c>
      <c r="C108" s="35" t="s">
        <v>108</v>
      </c>
      <c r="D108" s="35" t="s">
        <v>107</v>
      </c>
      <c r="E108" s="40" t="s">
        <v>46</v>
      </c>
      <c r="F108" s="37" t="s">
        <v>432</v>
      </c>
      <c r="G108" s="42" t="s">
        <v>433</v>
      </c>
      <c r="H108" s="37" t="s">
        <v>434</v>
      </c>
      <c r="I108" s="37" t="s">
        <v>435</v>
      </c>
      <c r="J108" s="37" t="s">
        <v>436</v>
      </c>
      <c r="K108" s="38" t="s">
        <v>20</v>
      </c>
      <c r="L108" s="38">
        <v>0</v>
      </c>
      <c r="M108" s="38" t="s">
        <v>20</v>
      </c>
    </row>
    <row r="109" spans="1:13" s="39" customFormat="1" x14ac:dyDescent="0.25">
      <c r="A109" s="34"/>
      <c r="B109" s="35" t="s">
        <v>437</v>
      </c>
      <c r="C109" s="35" t="s">
        <v>108</v>
      </c>
      <c r="D109" s="36" t="s">
        <v>107</v>
      </c>
      <c r="E109" s="40"/>
      <c r="F109" s="37"/>
      <c r="G109" s="42"/>
      <c r="H109" s="37"/>
      <c r="I109" s="37" t="s">
        <v>438</v>
      </c>
      <c r="J109" s="37" t="s">
        <v>439</v>
      </c>
      <c r="K109" s="38" t="s">
        <v>21</v>
      </c>
      <c r="L109" s="38">
        <v>1</v>
      </c>
      <c r="M109" s="38" t="s">
        <v>22</v>
      </c>
    </row>
    <row r="110" spans="1:13" s="39" customFormat="1" ht="25.5" x14ac:dyDescent="0.25">
      <c r="A110" s="34"/>
      <c r="B110" s="35" t="s">
        <v>440</v>
      </c>
      <c r="C110" s="35" t="s">
        <v>108</v>
      </c>
      <c r="D110" s="36" t="s">
        <v>107</v>
      </c>
      <c r="E110" s="40"/>
      <c r="F110" s="37"/>
      <c r="G110" s="42"/>
      <c r="H110" s="37"/>
      <c r="I110" s="37" t="s">
        <v>441</v>
      </c>
      <c r="J110" s="37" t="s">
        <v>442</v>
      </c>
      <c r="K110" s="38" t="s">
        <v>443</v>
      </c>
      <c r="L110" s="38">
        <v>0</v>
      </c>
      <c r="M110" s="38" t="s">
        <v>443</v>
      </c>
    </row>
    <row r="111" spans="1:13" s="39" customFormat="1" x14ac:dyDescent="0.25">
      <c r="A111" s="34"/>
      <c r="B111" s="35" t="s">
        <v>444</v>
      </c>
      <c r="C111" s="35" t="s">
        <v>108</v>
      </c>
      <c r="D111" s="36" t="s">
        <v>107</v>
      </c>
      <c r="E111" s="40"/>
      <c r="F111" s="37"/>
      <c r="G111" s="42"/>
      <c r="H111" s="37"/>
      <c r="I111" s="41" t="s">
        <v>445</v>
      </c>
      <c r="J111" s="37" t="s">
        <v>446</v>
      </c>
      <c r="K111" s="38" t="s">
        <v>66</v>
      </c>
      <c r="L111" s="38">
        <v>0</v>
      </c>
      <c r="M111" s="38" t="s">
        <v>66</v>
      </c>
    </row>
    <row r="112" spans="1:13" s="39" customFormat="1" x14ac:dyDescent="0.25">
      <c r="A112" s="34"/>
      <c r="B112" s="35" t="s">
        <v>447</v>
      </c>
      <c r="C112" s="35" t="s">
        <v>108</v>
      </c>
      <c r="D112" s="36" t="s">
        <v>107</v>
      </c>
      <c r="E112" s="40"/>
      <c r="F112" s="37"/>
      <c r="G112" s="42"/>
      <c r="H112" s="37"/>
      <c r="I112" s="37" t="s">
        <v>448</v>
      </c>
      <c r="J112" s="37" t="s">
        <v>449</v>
      </c>
      <c r="K112" s="38" t="s">
        <v>211</v>
      </c>
      <c r="L112" s="38">
        <v>0</v>
      </c>
      <c r="M112" s="38" t="s">
        <v>211</v>
      </c>
    </row>
    <row r="113" spans="1:13" s="39" customFormat="1" x14ac:dyDescent="0.25">
      <c r="A113" s="34"/>
      <c r="B113" s="35" t="s">
        <v>450</v>
      </c>
      <c r="C113" s="35" t="s">
        <v>108</v>
      </c>
      <c r="D113" s="36" t="s">
        <v>107</v>
      </c>
      <c r="E113" s="40"/>
      <c r="F113" s="37"/>
      <c r="G113" s="42"/>
      <c r="H113" s="37"/>
      <c r="I113" s="37" t="s">
        <v>451</v>
      </c>
      <c r="J113" s="37" t="s">
        <v>451</v>
      </c>
      <c r="K113" s="38" t="s">
        <v>17</v>
      </c>
      <c r="L113" s="38">
        <v>0</v>
      </c>
      <c r="M113" s="38" t="s">
        <v>17</v>
      </c>
    </row>
    <row r="114" spans="1:13" s="39" customFormat="1" ht="38.25" x14ac:dyDescent="0.25">
      <c r="A114" s="34"/>
      <c r="B114" s="35" t="s">
        <v>452</v>
      </c>
      <c r="C114" s="35" t="s">
        <v>108</v>
      </c>
      <c r="D114" s="36" t="s">
        <v>107</v>
      </c>
      <c r="E114" s="40"/>
      <c r="F114" s="37"/>
      <c r="G114" s="42"/>
      <c r="H114" s="37"/>
      <c r="I114" s="37" t="s">
        <v>453</v>
      </c>
      <c r="J114" s="37" t="s">
        <v>454</v>
      </c>
      <c r="K114" s="38" t="s">
        <v>15</v>
      </c>
      <c r="L114" s="38">
        <v>0</v>
      </c>
      <c r="M114" s="38" t="s">
        <v>15</v>
      </c>
    </row>
    <row r="115" spans="1:13" s="39" customFormat="1" ht="38.25" x14ac:dyDescent="0.25">
      <c r="A115" s="34">
        <v>20</v>
      </c>
      <c r="B115" s="35" t="s">
        <v>455</v>
      </c>
      <c r="C115" s="35" t="s">
        <v>102</v>
      </c>
      <c r="D115" s="35" t="s">
        <v>101</v>
      </c>
      <c r="E115" s="35" t="s">
        <v>46</v>
      </c>
      <c r="F115" s="37" t="s">
        <v>456</v>
      </c>
      <c r="G115" s="42" t="s">
        <v>457</v>
      </c>
      <c r="H115" s="37" t="s">
        <v>458</v>
      </c>
      <c r="I115" s="37" t="s">
        <v>459</v>
      </c>
      <c r="J115" s="37" t="s">
        <v>460</v>
      </c>
      <c r="K115" s="38" t="s">
        <v>31</v>
      </c>
      <c r="L115" s="38">
        <v>0</v>
      </c>
      <c r="M115" s="38" t="s">
        <v>31</v>
      </c>
    </row>
    <row r="116" spans="1:13" s="39" customFormat="1" ht="25.5" x14ac:dyDescent="0.25">
      <c r="A116" s="34"/>
      <c r="B116" s="35" t="s">
        <v>461</v>
      </c>
      <c r="C116" s="35" t="s">
        <v>102</v>
      </c>
      <c r="D116" s="36" t="s">
        <v>101</v>
      </c>
      <c r="E116" s="40"/>
      <c r="F116" s="37"/>
      <c r="G116" s="42"/>
      <c r="H116" s="37"/>
      <c r="I116" s="37" t="s">
        <v>462</v>
      </c>
      <c r="J116" s="37" t="s">
        <v>71</v>
      </c>
      <c r="K116" s="38" t="s">
        <v>70</v>
      </c>
      <c r="L116" s="38">
        <v>0</v>
      </c>
      <c r="M116" s="38" t="s">
        <v>70</v>
      </c>
    </row>
    <row r="117" spans="1:13" s="39" customFormat="1" x14ac:dyDescent="0.25">
      <c r="A117" s="34"/>
      <c r="B117" s="35" t="s">
        <v>463</v>
      </c>
      <c r="C117" s="35" t="s">
        <v>102</v>
      </c>
      <c r="D117" s="36" t="s">
        <v>101</v>
      </c>
      <c r="E117" s="40"/>
      <c r="F117" s="37"/>
      <c r="G117" s="42"/>
      <c r="H117" s="37"/>
      <c r="I117" s="37" t="s">
        <v>464</v>
      </c>
      <c r="J117" s="37" t="s">
        <v>465</v>
      </c>
      <c r="K117" s="38" t="s">
        <v>88</v>
      </c>
      <c r="L117" s="38">
        <v>0</v>
      </c>
      <c r="M117" s="38" t="s">
        <v>88</v>
      </c>
    </row>
    <row r="118" spans="1:13" s="39" customFormat="1" ht="25.5" x14ac:dyDescent="0.25">
      <c r="A118" s="34"/>
      <c r="B118" s="35" t="s">
        <v>466</v>
      </c>
      <c r="C118" s="35" t="s">
        <v>102</v>
      </c>
      <c r="D118" s="36" t="s">
        <v>101</v>
      </c>
      <c r="E118" s="40"/>
      <c r="F118" s="37"/>
      <c r="G118" s="42"/>
      <c r="H118" s="37"/>
      <c r="I118" s="37" t="s">
        <v>467</v>
      </c>
      <c r="J118" s="37" t="s">
        <v>467</v>
      </c>
      <c r="K118" s="38" t="s">
        <v>14</v>
      </c>
      <c r="L118" s="38">
        <v>0</v>
      </c>
      <c r="M118" s="38" t="s">
        <v>14</v>
      </c>
    </row>
    <row r="119" spans="1:13" s="39" customFormat="1" ht="25.5" x14ac:dyDescent="0.25">
      <c r="A119" s="34"/>
      <c r="B119" s="35" t="s">
        <v>468</v>
      </c>
      <c r="C119" s="35" t="s">
        <v>102</v>
      </c>
      <c r="D119" s="36" t="s">
        <v>101</v>
      </c>
      <c r="E119" s="40"/>
      <c r="F119" s="37"/>
      <c r="G119" s="42"/>
      <c r="H119" s="37"/>
      <c r="I119" s="37" t="s">
        <v>469</v>
      </c>
      <c r="J119" s="37" t="s">
        <v>469</v>
      </c>
      <c r="K119" s="38" t="s">
        <v>17</v>
      </c>
      <c r="L119" s="38">
        <v>0</v>
      </c>
      <c r="M119" s="38" t="s">
        <v>17</v>
      </c>
    </row>
    <row r="120" spans="1:13" s="39" customFormat="1" ht="25.5" x14ac:dyDescent="0.25">
      <c r="A120" s="34">
        <v>21</v>
      </c>
      <c r="B120" s="35" t="s">
        <v>470</v>
      </c>
      <c r="C120" s="35" t="s">
        <v>183</v>
      </c>
      <c r="D120" s="35" t="s">
        <v>98</v>
      </c>
      <c r="E120" s="40" t="s">
        <v>46</v>
      </c>
      <c r="F120" s="37" t="s">
        <v>471</v>
      </c>
      <c r="G120" s="42" t="s">
        <v>472</v>
      </c>
      <c r="H120" s="37" t="s">
        <v>473</v>
      </c>
      <c r="I120" s="37" t="s">
        <v>474</v>
      </c>
      <c r="J120" s="37" t="s">
        <v>19</v>
      </c>
      <c r="K120" s="38" t="s">
        <v>20</v>
      </c>
      <c r="L120" s="38">
        <v>0</v>
      </c>
      <c r="M120" s="38" t="s">
        <v>20</v>
      </c>
    </row>
    <row r="121" spans="1:13" s="39" customFormat="1" x14ac:dyDescent="0.25">
      <c r="A121" s="34"/>
      <c r="B121" s="35" t="s">
        <v>475</v>
      </c>
      <c r="C121" s="35" t="s">
        <v>183</v>
      </c>
      <c r="D121" s="36" t="s">
        <v>98</v>
      </c>
      <c r="E121" s="35"/>
      <c r="F121" s="37"/>
      <c r="G121" s="42"/>
      <c r="H121" s="37"/>
      <c r="I121" s="37" t="s">
        <v>435</v>
      </c>
      <c r="J121" s="37" t="s">
        <v>436</v>
      </c>
      <c r="K121" s="38" t="s">
        <v>20</v>
      </c>
      <c r="L121" s="38">
        <v>0</v>
      </c>
      <c r="M121" s="38" t="s">
        <v>20</v>
      </c>
    </row>
    <row r="122" spans="1:13" s="39" customFormat="1" ht="25.5" x14ac:dyDescent="0.25">
      <c r="A122" s="34"/>
      <c r="B122" s="35" t="s">
        <v>476</v>
      </c>
      <c r="C122" s="35" t="s">
        <v>183</v>
      </c>
      <c r="D122" s="36" t="s">
        <v>98</v>
      </c>
      <c r="E122" s="35"/>
      <c r="F122" s="37"/>
      <c r="G122" s="42"/>
      <c r="H122" s="37"/>
      <c r="I122" s="37" t="s">
        <v>477</v>
      </c>
      <c r="J122" s="37" t="s">
        <v>478</v>
      </c>
      <c r="K122" s="38" t="s">
        <v>479</v>
      </c>
      <c r="L122" s="38">
        <v>0</v>
      </c>
      <c r="M122" s="38" t="s">
        <v>479</v>
      </c>
    </row>
    <row r="123" spans="1:13" s="39" customFormat="1" ht="25.5" x14ac:dyDescent="0.25">
      <c r="A123" s="34"/>
      <c r="B123" s="35" t="s">
        <v>480</v>
      </c>
      <c r="C123" s="35" t="s">
        <v>183</v>
      </c>
      <c r="D123" s="36" t="s">
        <v>98</v>
      </c>
      <c r="E123" s="35"/>
      <c r="F123" s="37"/>
      <c r="G123" s="42"/>
      <c r="H123" s="37"/>
      <c r="I123" s="37" t="s">
        <v>481</v>
      </c>
      <c r="J123" s="37" t="s">
        <v>482</v>
      </c>
      <c r="K123" s="38" t="s">
        <v>30</v>
      </c>
      <c r="L123" s="38">
        <v>0</v>
      </c>
      <c r="M123" s="38" t="s">
        <v>30</v>
      </c>
    </row>
    <row r="124" spans="1:13" s="39" customFormat="1" ht="25.5" x14ac:dyDescent="0.25">
      <c r="A124" s="34"/>
      <c r="B124" s="35" t="s">
        <v>483</v>
      </c>
      <c r="C124" s="35" t="s">
        <v>183</v>
      </c>
      <c r="D124" s="36" t="s">
        <v>98</v>
      </c>
      <c r="E124" s="35"/>
      <c r="F124" s="37"/>
      <c r="G124" s="42"/>
      <c r="H124" s="37"/>
      <c r="I124" s="37" t="s">
        <v>484</v>
      </c>
      <c r="J124" s="37" t="s">
        <v>484</v>
      </c>
      <c r="K124" s="38" t="s">
        <v>17</v>
      </c>
      <c r="L124" s="38">
        <v>0</v>
      </c>
      <c r="M124" s="38" t="s">
        <v>17</v>
      </c>
    </row>
    <row r="125" spans="1:13" s="39" customFormat="1" ht="25.5" x14ac:dyDescent="0.25">
      <c r="A125" s="34">
        <v>22</v>
      </c>
      <c r="B125" s="35" t="s">
        <v>485</v>
      </c>
      <c r="C125" s="35" t="s">
        <v>187</v>
      </c>
      <c r="D125" s="35" t="s">
        <v>95</v>
      </c>
      <c r="E125" s="40" t="s">
        <v>46</v>
      </c>
      <c r="F125" s="37" t="s">
        <v>486</v>
      </c>
      <c r="G125" s="42" t="s">
        <v>487</v>
      </c>
      <c r="H125" s="37" t="s">
        <v>488</v>
      </c>
      <c r="I125" s="37" t="s">
        <v>87</v>
      </c>
      <c r="J125" s="37" t="s">
        <v>87</v>
      </c>
      <c r="K125" s="38" t="s">
        <v>20</v>
      </c>
      <c r="L125" s="38">
        <v>0</v>
      </c>
      <c r="M125" s="38" t="s">
        <v>20</v>
      </c>
    </row>
    <row r="126" spans="1:13" s="39" customFormat="1" ht="25.5" x14ac:dyDescent="0.25">
      <c r="A126" s="34"/>
      <c r="B126" s="35" t="s">
        <v>489</v>
      </c>
      <c r="C126" s="35" t="s">
        <v>187</v>
      </c>
      <c r="D126" s="36" t="s">
        <v>95</v>
      </c>
      <c r="E126" s="40"/>
      <c r="F126" s="37"/>
      <c r="G126" s="42"/>
      <c r="H126" s="37"/>
      <c r="I126" s="37" t="s">
        <v>490</v>
      </c>
      <c r="J126" s="37" t="s">
        <v>490</v>
      </c>
      <c r="K126" s="38" t="s">
        <v>30</v>
      </c>
      <c r="L126" s="38">
        <v>0</v>
      </c>
      <c r="M126" s="38" t="s">
        <v>30</v>
      </c>
    </row>
    <row r="127" spans="1:13" s="39" customFormat="1" x14ac:dyDescent="0.25">
      <c r="A127" s="34"/>
      <c r="B127" s="35" t="s">
        <v>491</v>
      </c>
      <c r="C127" s="35" t="s">
        <v>187</v>
      </c>
      <c r="D127" s="36" t="s">
        <v>95</v>
      </c>
      <c r="E127" s="40"/>
      <c r="F127" s="37"/>
      <c r="G127" s="42"/>
      <c r="H127" s="37"/>
      <c r="I127" s="37" t="s">
        <v>52</v>
      </c>
      <c r="J127" s="37" t="s">
        <v>51</v>
      </c>
      <c r="K127" s="38" t="s">
        <v>22</v>
      </c>
      <c r="L127" s="38">
        <v>0</v>
      </c>
      <c r="M127" s="38" t="s">
        <v>22</v>
      </c>
    </row>
    <row r="128" spans="1:13" s="39" customFormat="1" x14ac:dyDescent="0.25">
      <c r="A128" s="34"/>
      <c r="B128" s="35" t="s">
        <v>492</v>
      </c>
      <c r="C128" s="35" t="s">
        <v>187</v>
      </c>
      <c r="D128" s="36" t="s">
        <v>95</v>
      </c>
      <c r="E128" s="40"/>
      <c r="F128" s="37"/>
      <c r="G128" s="42"/>
      <c r="H128" s="37"/>
      <c r="I128" s="37" t="s">
        <v>493</v>
      </c>
      <c r="J128" s="37" t="s">
        <v>493</v>
      </c>
      <c r="K128" s="38" t="s">
        <v>15</v>
      </c>
      <c r="L128" s="38">
        <v>0</v>
      </c>
      <c r="M128" s="38" t="s">
        <v>15</v>
      </c>
    </row>
    <row r="129" spans="1:13" s="39" customFormat="1" ht="25.5" x14ac:dyDescent="0.25">
      <c r="A129" s="34"/>
      <c r="B129" s="35" t="s">
        <v>494</v>
      </c>
      <c r="C129" s="35" t="s">
        <v>187</v>
      </c>
      <c r="D129" s="36" t="s">
        <v>95</v>
      </c>
      <c r="E129" s="40"/>
      <c r="F129" s="37" t="s">
        <v>0</v>
      </c>
      <c r="G129" s="42"/>
      <c r="H129" s="37"/>
      <c r="I129" s="37" t="s">
        <v>374</v>
      </c>
      <c r="J129" s="37" t="s">
        <v>495</v>
      </c>
      <c r="K129" s="38" t="s">
        <v>15</v>
      </c>
      <c r="L129" s="38">
        <v>0</v>
      </c>
      <c r="M129" s="38" t="s">
        <v>15</v>
      </c>
    </row>
    <row r="130" spans="1:13" s="39" customFormat="1" x14ac:dyDescent="0.25">
      <c r="A130" s="34"/>
      <c r="B130" s="35" t="s">
        <v>496</v>
      </c>
      <c r="C130" s="35" t="s">
        <v>187</v>
      </c>
      <c r="D130" s="36" t="s">
        <v>95</v>
      </c>
      <c r="E130" s="40"/>
      <c r="F130" s="37"/>
      <c r="G130" s="42"/>
      <c r="H130" s="37"/>
      <c r="I130" s="37" t="s">
        <v>86</v>
      </c>
      <c r="J130" s="37" t="s">
        <v>85</v>
      </c>
      <c r="K130" s="38" t="s">
        <v>15</v>
      </c>
      <c r="L130" s="38">
        <v>1</v>
      </c>
      <c r="M130" s="38" t="s">
        <v>15</v>
      </c>
    </row>
    <row r="131" spans="1:13" s="39" customFormat="1" x14ac:dyDescent="0.25">
      <c r="A131" s="34"/>
      <c r="B131" s="35" t="s">
        <v>497</v>
      </c>
      <c r="C131" s="35" t="s">
        <v>187</v>
      </c>
      <c r="D131" s="36" t="s">
        <v>95</v>
      </c>
      <c r="E131" s="40"/>
      <c r="F131" s="37"/>
      <c r="G131" s="42"/>
      <c r="H131" s="37"/>
      <c r="I131" s="37" t="s">
        <v>498</v>
      </c>
      <c r="J131" s="37" t="s">
        <v>499</v>
      </c>
      <c r="K131" s="38" t="s">
        <v>17</v>
      </c>
      <c r="L131" s="38">
        <v>1</v>
      </c>
      <c r="M131" s="38" t="s">
        <v>17</v>
      </c>
    </row>
    <row r="132" spans="1:13" s="39" customFormat="1" ht="38.25" x14ac:dyDescent="0.25">
      <c r="A132" s="34">
        <v>23</v>
      </c>
      <c r="B132" s="35" t="s">
        <v>500</v>
      </c>
      <c r="C132" s="35" t="s">
        <v>148</v>
      </c>
      <c r="D132" s="35" t="s">
        <v>94</v>
      </c>
      <c r="E132" s="40" t="s">
        <v>46</v>
      </c>
      <c r="F132" s="37" t="s">
        <v>501</v>
      </c>
      <c r="G132" s="42" t="s">
        <v>502</v>
      </c>
      <c r="H132" s="37" t="s">
        <v>503</v>
      </c>
      <c r="I132" s="37" t="s">
        <v>504</v>
      </c>
      <c r="J132" s="37" t="s">
        <v>63</v>
      </c>
      <c r="K132" s="38" t="s">
        <v>62</v>
      </c>
      <c r="L132" s="38">
        <v>0</v>
      </c>
      <c r="M132" s="38" t="s">
        <v>62</v>
      </c>
    </row>
    <row r="133" spans="1:13" s="39" customFormat="1" ht="25.5" x14ac:dyDescent="0.25">
      <c r="A133" s="34"/>
      <c r="B133" s="35" t="s">
        <v>505</v>
      </c>
      <c r="C133" s="35" t="s">
        <v>148</v>
      </c>
      <c r="D133" s="36" t="s">
        <v>94</v>
      </c>
      <c r="E133" s="35"/>
      <c r="F133" s="37"/>
      <c r="G133" s="42"/>
      <c r="H133" s="37"/>
      <c r="I133" s="37" t="s">
        <v>506</v>
      </c>
      <c r="J133" s="37" t="s">
        <v>506</v>
      </c>
      <c r="K133" s="38" t="s">
        <v>36</v>
      </c>
      <c r="L133" s="38">
        <v>0</v>
      </c>
      <c r="M133" s="38" t="s">
        <v>36</v>
      </c>
    </row>
    <row r="134" spans="1:13" s="39" customFormat="1" x14ac:dyDescent="0.25">
      <c r="A134" s="34"/>
      <c r="B134" s="35" t="s">
        <v>507</v>
      </c>
      <c r="C134" s="35" t="s">
        <v>148</v>
      </c>
      <c r="D134" s="36" t="s">
        <v>94</v>
      </c>
      <c r="E134" s="35"/>
      <c r="F134" s="37"/>
      <c r="G134" s="42"/>
      <c r="H134" s="37"/>
      <c r="I134" s="37" t="s">
        <v>508</v>
      </c>
      <c r="J134" s="37" t="s">
        <v>508</v>
      </c>
      <c r="K134" s="38" t="s">
        <v>82</v>
      </c>
      <c r="L134" s="38">
        <v>0</v>
      </c>
      <c r="M134" s="38" t="s">
        <v>82</v>
      </c>
    </row>
    <row r="135" spans="1:13" s="39" customFormat="1" ht="25.5" x14ac:dyDescent="0.25">
      <c r="A135" s="34"/>
      <c r="B135" s="35" t="s">
        <v>509</v>
      </c>
      <c r="C135" s="35" t="s">
        <v>148</v>
      </c>
      <c r="D135" s="36" t="s">
        <v>94</v>
      </c>
      <c r="E135" s="35"/>
      <c r="F135" s="37"/>
      <c r="G135" s="42"/>
      <c r="H135" s="37"/>
      <c r="I135" s="37" t="s">
        <v>510</v>
      </c>
      <c r="J135" s="37" t="s">
        <v>510</v>
      </c>
      <c r="K135" s="38" t="s">
        <v>15</v>
      </c>
      <c r="L135" s="38">
        <v>0</v>
      </c>
      <c r="M135" s="38" t="s">
        <v>15</v>
      </c>
    </row>
    <row r="136" spans="1:13" s="39" customFormat="1" ht="38.25" x14ac:dyDescent="0.25">
      <c r="A136" s="34"/>
      <c r="B136" s="35" t="s">
        <v>511</v>
      </c>
      <c r="C136" s="35" t="s">
        <v>148</v>
      </c>
      <c r="D136" s="36" t="s">
        <v>94</v>
      </c>
      <c r="E136" s="35"/>
      <c r="F136" s="37"/>
      <c r="G136" s="42"/>
      <c r="H136" s="37"/>
      <c r="I136" s="37" t="s">
        <v>512</v>
      </c>
      <c r="J136" s="37" t="s">
        <v>513</v>
      </c>
      <c r="K136" s="38" t="s">
        <v>15</v>
      </c>
      <c r="L136" s="38">
        <v>0</v>
      </c>
      <c r="M136" s="38" t="s">
        <v>15</v>
      </c>
    </row>
    <row r="137" spans="1:13" s="39" customFormat="1" ht="25.5" x14ac:dyDescent="0.25">
      <c r="A137" s="34">
        <v>24</v>
      </c>
      <c r="B137" s="35" t="s">
        <v>514</v>
      </c>
      <c r="C137" s="35" t="s">
        <v>149</v>
      </c>
      <c r="D137" s="35" t="s">
        <v>93</v>
      </c>
      <c r="E137" s="35" t="s">
        <v>46</v>
      </c>
      <c r="F137" s="37" t="s">
        <v>515</v>
      </c>
      <c r="G137" s="42" t="s">
        <v>516</v>
      </c>
      <c r="H137" s="37" t="s">
        <v>517</v>
      </c>
      <c r="I137" s="37" t="s">
        <v>518</v>
      </c>
      <c r="J137" s="37" t="s">
        <v>519</v>
      </c>
      <c r="K137" s="38" t="s">
        <v>15</v>
      </c>
      <c r="L137" s="38">
        <v>0</v>
      </c>
      <c r="M137" s="38" t="s">
        <v>15</v>
      </c>
    </row>
    <row r="138" spans="1:13" s="39" customFormat="1" x14ac:dyDescent="0.25">
      <c r="A138" s="34"/>
      <c r="B138" s="35" t="s">
        <v>520</v>
      </c>
      <c r="C138" s="35" t="s">
        <v>149</v>
      </c>
      <c r="D138" s="36" t="s">
        <v>93</v>
      </c>
      <c r="E138" s="40"/>
      <c r="F138" s="37"/>
      <c r="G138" s="42"/>
      <c r="H138" s="37"/>
      <c r="I138" s="37" t="s">
        <v>521</v>
      </c>
      <c r="J138" s="37" t="s">
        <v>522</v>
      </c>
      <c r="K138" s="38" t="s">
        <v>15</v>
      </c>
      <c r="L138" s="38">
        <v>1</v>
      </c>
      <c r="M138" s="38" t="s">
        <v>15</v>
      </c>
    </row>
    <row r="139" spans="1:13" s="39" customFormat="1" ht="25.5" x14ac:dyDescent="0.25">
      <c r="A139" s="34"/>
      <c r="B139" s="35" t="s">
        <v>523</v>
      </c>
      <c r="C139" s="35" t="s">
        <v>149</v>
      </c>
      <c r="D139" s="36" t="s">
        <v>93</v>
      </c>
      <c r="E139" s="40"/>
      <c r="F139" s="37"/>
      <c r="G139" s="42"/>
      <c r="H139" s="37"/>
      <c r="I139" s="41" t="s">
        <v>524</v>
      </c>
      <c r="J139" s="37" t="s">
        <v>525</v>
      </c>
      <c r="K139" s="38" t="s">
        <v>82</v>
      </c>
      <c r="L139" s="38">
        <v>0</v>
      </c>
      <c r="M139" s="38" t="s">
        <v>82</v>
      </c>
    </row>
    <row r="140" spans="1:13" s="39" customFormat="1" x14ac:dyDescent="0.25">
      <c r="A140" s="34"/>
      <c r="B140" s="35" t="s">
        <v>526</v>
      </c>
      <c r="C140" s="35" t="s">
        <v>149</v>
      </c>
      <c r="D140" s="36" t="s">
        <v>93</v>
      </c>
      <c r="E140" s="40"/>
      <c r="F140" s="37"/>
      <c r="G140" s="42"/>
      <c r="H140" s="37"/>
      <c r="I140" s="37" t="s">
        <v>527</v>
      </c>
      <c r="J140" s="37" t="s">
        <v>528</v>
      </c>
      <c r="K140" s="38" t="s">
        <v>15</v>
      </c>
      <c r="L140" s="38">
        <v>0</v>
      </c>
      <c r="M140" s="38" t="s">
        <v>15</v>
      </c>
    </row>
    <row r="141" spans="1:13" s="39" customFormat="1" x14ac:dyDescent="0.25">
      <c r="A141" s="34"/>
      <c r="B141" s="35" t="s">
        <v>529</v>
      </c>
      <c r="C141" s="35" t="s">
        <v>149</v>
      </c>
      <c r="D141" s="36" t="s">
        <v>93</v>
      </c>
      <c r="E141" s="40"/>
      <c r="F141" s="37"/>
      <c r="G141" s="42"/>
      <c r="H141" s="37"/>
      <c r="I141" s="37" t="s">
        <v>329</v>
      </c>
      <c r="J141" s="37" t="s">
        <v>330</v>
      </c>
      <c r="K141" s="38" t="s">
        <v>21</v>
      </c>
      <c r="L141" s="38">
        <v>1</v>
      </c>
      <c r="M141" s="38" t="s">
        <v>22</v>
      </c>
    </row>
    <row r="142" spans="1:13" s="39" customFormat="1" ht="38.25" x14ac:dyDescent="0.25">
      <c r="A142" s="34">
        <v>25</v>
      </c>
      <c r="B142" s="35" t="s">
        <v>530</v>
      </c>
      <c r="C142" s="35" t="s">
        <v>150</v>
      </c>
      <c r="D142" s="35" t="s">
        <v>81</v>
      </c>
      <c r="E142" s="40" t="s">
        <v>46</v>
      </c>
      <c r="F142" s="37" t="s">
        <v>531</v>
      </c>
      <c r="G142" s="42" t="s">
        <v>532</v>
      </c>
      <c r="H142" s="37" t="s">
        <v>533</v>
      </c>
      <c r="I142" s="37" t="s">
        <v>534</v>
      </c>
      <c r="J142" s="37" t="s">
        <v>535</v>
      </c>
      <c r="K142" s="38" t="s">
        <v>20</v>
      </c>
      <c r="L142" s="38">
        <v>0</v>
      </c>
      <c r="M142" s="38" t="s">
        <v>20</v>
      </c>
    </row>
    <row r="143" spans="1:13" s="39" customFormat="1" x14ac:dyDescent="0.25">
      <c r="A143" s="34"/>
      <c r="B143" s="35" t="s">
        <v>536</v>
      </c>
      <c r="C143" s="35" t="s">
        <v>150</v>
      </c>
      <c r="D143" s="36" t="s">
        <v>81</v>
      </c>
      <c r="E143" s="35"/>
      <c r="F143" s="37"/>
      <c r="G143" s="42"/>
      <c r="H143" s="37"/>
      <c r="I143" s="37" t="s">
        <v>537</v>
      </c>
      <c r="J143" s="37" t="s">
        <v>193</v>
      </c>
      <c r="K143" s="38" t="s">
        <v>20</v>
      </c>
      <c r="L143" s="38">
        <v>0</v>
      </c>
      <c r="M143" s="38" t="s">
        <v>20</v>
      </c>
    </row>
    <row r="144" spans="1:13" s="39" customFormat="1" x14ac:dyDescent="0.25">
      <c r="A144" s="34"/>
      <c r="B144" s="35" t="s">
        <v>538</v>
      </c>
      <c r="C144" s="35" t="s">
        <v>150</v>
      </c>
      <c r="D144" s="36" t="s">
        <v>81</v>
      </c>
      <c r="E144" s="35"/>
      <c r="F144" s="37"/>
      <c r="G144" s="42"/>
      <c r="H144" s="37"/>
      <c r="I144" s="37" t="s">
        <v>43</v>
      </c>
      <c r="J144" s="37" t="s">
        <v>42</v>
      </c>
      <c r="K144" s="38" t="s">
        <v>21</v>
      </c>
      <c r="L144" s="38">
        <v>1</v>
      </c>
      <c r="M144" s="38" t="s">
        <v>22</v>
      </c>
    </row>
    <row r="145" spans="1:13" s="39" customFormat="1" x14ac:dyDescent="0.25">
      <c r="A145" s="34"/>
      <c r="B145" s="35" t="s">
        <v>539</v>
      </c>
      <c r="C145" s="35" t="s">
        <v>150</v>
      </c>
      <c r="D145" s="36" t="s">
        <v>81</v>
      </c>
      <c r="E145" s="35"/>
      <c r="F145" s="37"/>
      <c r="G145" s="42"/>
      <c r="H145" s="37"/>
      <c r="I145" s="37" t="s">
        <v>48</v>
      </c>
      <c r="J145" s="37" t="s">
        <v>47</v>
      </c>
      <c r="K145" s="38" t="s">
        <v>25</v>
      </c>
      <c r="L145" s="38">
        <v>1</v>
      </c>
      <c r="M145" s="38" t="s">
        <v>26</v>
      </c>
    </row>
    <row r="146" spans="1:13" s="39" customFormat="1" x14ac:dyDescent="0.25">
      <c r="A146" s="34"/>
      <c r="B146" s="35" t="s">
        <v>540</v>
      </c>
      <c r="C146" s="35" t="s">
        <v>150</v>
      </c>
      <c r="D146" s="36" t="s">
        <v>81</v>
      </c>
      <c r="E146" s="35"/>
      <c r="F146" s="37"/>
      <c r="G146" s="42"/>
      <c r="H146" s="37"/>
      <c r="I146" s="37" t="s">
        <v>77</v>
      </c>
      <c r="J146" s="37" t="s">
        <v>76</v>
      </c>
      <c r="K146" s="38" t="s">
        <v>15</v>
      </c>
      <c r="L146" s="38">
        <v>1</v>
      </c>
      <c r="M146" s="38" t="s">
        <v>15</v>
      </c>
    </row>
    <row r="147" spans="1:13" s="39" customFormat="1" x14ac:dyDescent="0.25">
      <c r="A147" s="34"/>
      <c r="B147" s="35" t="s">
        <v>541</v>
      </c>
      <c r="C147" s="35" t="s">
        <v>150</v>
      </c>
      <c r="D147" s="36" t="s">
        <v>81</v>
      </c>
      <c r="E147" s="35"/>
      <c r="F147" s="37"/>
      <c r="G147" s="42"/>
      <c r="H147" s="37"/>
      <c r="I147" s="37" t="s">
        <v>542</v>
      </c>
      <c r="J147" s="37" t="s">
        <v>543</v>
      </c>
      <c r="K147" s="38" t="s">
        <v>15</v>
      </c>
      <c r="L147" s="38">
        <v>1</v>
      </c>
      <c r="M147" s="38" t="s">
        <v>15</v>
      </c>
    </row>
    <row r="148" spans="1:13" s="39" customFormat="1" x14ac:dyDescent="0.25">
      <c r="A148" s="34"/>
      <c r="B148" s="35" t="s">
        <v>544</v>
      </c>
      <c r="C148" s="35" t="s">
        <v>150</v>
      </c>
      <c r="D148" s="36" t="s">
        <v>81</v>
      </c>
      <c r="E148" s="35"/>
      <c r="F148" s="37"/>
      <c r="G148" s="42"/>
      <c r="H148" s="37"/>
      <c r="I148" s="41" t="s">
        <v>545</v>
      </c>
      <c r="J148" s="37" t="s">
        <v>546</v>
      </c>
      <c r="K148" s="38" t="s">
        <v>82</v>
      </c>
      <c r="L148" s="38">
        <v>0</v>
      </c>
      <c r="M148" s="38" t="s">
        <v>82</v>
      </c>
    </row>
    <row r="149" spans="1:13" s="39" customFormat="1" x14ac:dyDescent="0.25">
      <c r="A149" s="34"/>
      <c r="B149" s="35" t="s">
        <v>547</v>
      </c>
      <c r="C149" s="35" t="s">
        <v>150</v>
      </c>
      <c r="D149" s="36" t="s">
        <v>81</v>
      </c>
      <c r="E149" s="35"/>
      <c r="F149" s="37"/>
      <c r="G149" s="42"/>
      <c r="H149" s="37"/>
      <c r="I149" s="37" t="s">
        <v>73</v>
      </c>
      <c r="J149" s="37" t="s">
        <v>72</v>
      </c>
      <c r="K149" s="38" t="s">
        <v>17</v>
      </c>
      <c r="L149" s="38">
        <v>1</v>
      </c>
      <c r="M149" s="38" t="s">
        <v>17</v>
      </c>
    </row>
    <row r="150" spans="1:13" s="39" customFormat="1" ht="25.5" x14ac:dyDescent="0.25">
      <c r="A150" s="34"/>
      <c r="B150" s="35" t="s">
        <v>548</v>
      </c>
      <c r="C150" s="35" t="s">
        <v>150</v>
      </c>
      <c r="D150" s="36" t="s">
        <v>81</v>
      </c>
      <c r="E150" s="35"/>
      <c r="F150" s="37"/>
      <c r="G150" s="42"/>
      <c r="H150" s="37"/>
      <c r="I150" s="37" t="s">
        <v>549</v>
      </c>
      <c r="J150" s="37" t="s">
        <v>549</v>
      </c>
      <c r="K150" s="38" t="s">
        <v>70</v>
      </c>
      <c r="L150" s="38">
        <v>0</v>
      </c>
      <c r="M150" s="38" t="s">
        <v>70</v>
      </c>
    </row>
    <row r="151" spans="1:13" s="50" customFormat="1" x14ac:dyDescent="0.25">
      <c r="A151" s="43"/>
      <c r="B151" s="44"/>
      <c r="C151" s="44"/>
      <c r="D151" s="45"/>
      <c r="E151" s="46"/>
      <c r="F151" s="47"/>
      <c r="G151" s="48"/>
      <c r="H151" s="49"/>
      <c r="I151" s="47"/>
      <c r="J151" s="47"/>
      <c r="K151" s="49"/>
      <c r="L151" s="49"/>
      <c r="M151" s="49"/>
    </row>
    <row r="152" spans="1:13" s="50" customFormat="1" x14ac:dyDescent="0.25">
      <c r="A152" s="43"/>
      <c r="B152" s="44"/>
      <c r="C152" s="44"/>
      <c r="D152" s="45"/>
      <c r="E152" s="46"/>
      <c r="F152" s="47"/>
      <c r="G152" s="48"/>
      <c r="H152" s="49"/>
      <c r="I152" s="47"/>
      <c r="J152" s="47"/>
      <c r="K152" s="49"/>
      <c r="L152" s="49"/>
      <c r="M152" s="49"/>
    </row>
    <row r="153" spans="1:13" s="50" customFormat="1" x14ac:dyDescent="0.25">
      <c r="A153" s="43"/>
      <c r="B153" s="44"/>
      <c r="C153" s="44"/>
      <c r="D153" s="45"/>
      <c r="E153" s="46"/>
      <c r="F153" s="47"/>
      <c r="G153" s="48"/>
      <c r="H153" s="49"/>
      <c r="I153" s="47"/>
      <c r="J153" s="47"/>
      <c r="K153" s="49"/>
      <c r="L153" s="49"/>
      <c r="M153" s="49"/>
    </row>
    <row r="154" spans="1:13" s="50" customFormat="1" x14ac:dyDescent="0.25">
      <c r="A154" s="43"/>
      <c r="B154" s="44"/>
      <c r="C154" s="44"/>
      <c r="D154" s="45"/>
      <c r="E154" s="46"/>
      <c r="F154" s="47"/>
      <c r="G154" s="48"/>
      <c r="H154" s="49"/>
      <c r="I154" s="47"/>
      <c r="J154" s="47"/>
      <c r="K154" s="49"/>
      <c r="L154" s="49"/>
      <c r="M154" s="49"/>
    </row>
    <row r="155" spans="1:13" s="50" customFormat="1" x14ac:dyDescent="0.25">
      <c r="A155" s="43"/>
      <c r="B155" s="44"/>
      <c r="C155" s="44"/>
      <c r="D155" s="45"/>
      <c r="E155" s="46"/>
      <c r="F155" s="47"/>
      <c r="G155" s="48"/>
      <c r="H155" s="49"/>
      <c r="I155" s="47"/>
      <c r="J155" s="47"/>
      <c r="K155" s="49"/>
      <c r="L155" s="49"/>
      <c r="M155" s="49"/>
    </row>
    <row r="156" spans="1:13" s="50" customFormat="1" x14ac:dyDescent="0.25">
      <c r="A156" s="43"/>
      <c r="B156" s="44"/>
      <c r="C156" s="44"/>
      <c r="D156" s="44"/>
      <c r="E156" s="46"/>
      <c r="F156" s="47"/>
      <c r="G156" s="48"/>
      <c r="H156" s="49"/>
      <c r="I156" s="47"/>
      <c r="J156" s="47"/>
      <c r="K156" s="49"/>
      <c r="L156" s="49"/>
      <c r="M156" s="49"/>
    </row>
    <row r="157" spans="1:13" s="50" customFormat="1" x14ac:dyDescent="0.25">
      <c r="A157" s="43"/>
      <c r="B157" s="44"/>
      <c r="C157" s="44"/>
      <c r="D157" s="45"/>
      <c r="E157" s="44"/>
      <c r="F157" s="47"/>
      <c r="G157" s="48"/>
      <c r="H157" s="49"/>
      <c r="I157" s="47"/>
      <c r="J157" s="47"/>
      <c r="K157" s="49"/>
      <c r="L157" s="49"/>
      <c r="M157" s="49"/>
    </row>
    <row r="158" spans="1:13" s="50" customFormat="1" x14ac:dyDescent="0.25">
      <c r="A158" s="43"/>
      <c r="B158" s="44"/>
      <c r="C158" s="44"/>
      <c r="D158" s="45"/>
      <c r="E158" s="44"/>
      <c r="F158" s="47"/>
      <c r="G158" s="48"/>
      <c r="H158" s="49"/>
      <c r="I158" s="47"/>
      <c r="J158" s="47"/>
      <c r="K158" s="49"/>
      <c r="L158" s="49"/>
      <c r="M158" s="49"/>
    </row>
    <row r="159" spans="1:13" s="50" customFormat="1" x14ac:dyDescent="0.25">
      <c r="A159" s="43"/>
      <c r="B159" s="44"/>
      <c r="C159" s="44"/>
      <c r="D159" s="45"/>
      <c r="E159" s="44"/>
      <c r="F159" s="47"/>
      <c r="G159" s="48"/>
      <c r="H159" s="49"/>
      <c r="I159" s="47"/>
      <c r="J159" s="47"/>
      <c r="K159" s="49"/>
      <c r="L159" s="49"/>
      <c r="M159" s="49"/>
    </row>
    <row r="160" spans="1:13" s="50" customFormat="1" x14ac:dyDescent="0.25">
      <c r="A160" s="43"/>
      <c r="B160" s="44"/>
      <c r="C160" s="44"/>
      <c r="D160" s="45"/>
      <c r="E160" s="44"/>
      <c r="F160" s="47"/>
      <c r="G160" s="48"/>
      <c r="H160" s="49"/>
      <c r="I160" s="47"/>
      <c r="J160" s="47"/>
      <c r="K160" s="49"/>
      <c r="L160" s="49"/>
      <c r="M160" s="49"/>
    </row>
    <row r="161" spans="1:13" s="50" customFormat="1" x14ac:dyDescent="0.25">
      <c r="A161" s="43"/>
      <c r="B161" s="44"/>
      <c r="C161" s="44"/>
      <c r="D161" s="45"/>
      <c r="E161" s="44"/>
      <c r="F161" s="47"/>
      <c r="G161" s="48"/>
      <c r="H161" s="49"/>
      <c r="I161" s="47"/>
      <c r="J161" s="47"/>
      <c r="K161" s="49"/>
      <c r="L161" s="49"/>
      <c r="M161" s="49"/>
    </row>
    <row r="162" spans="1:13" s="50" customFormat="1" x14ac:dyDescent="0.25">
      <c r="A162" s="43"/>
      <c r="B162" s="44"/>
      <c r="C162" s="44"/>
      <c r="D162" s="45"/>
      <c r="E162" s="44"/>
      <c r="F162" s="47"/>
      <c r="G162" s="48"/>
      <c r="H162" s="49"/>
      <c r="I162" s="47"/>
      <c r="J162" s="47"/>
      <c r="K162" s="49"/>
      <c r="L162" s="49"/>
      <c r="M162" s="49"/>
    </row>
    <row r="163" spans="1:13" s="50" customFormat="1" x14ac:dyDescent="0.25">
      <c r="A163" s="43"/>
      <c r="B163" s="44"/>
      <c r="C163" s="44"/>
      <c r="D163" s="45"/>
      <c r="E163" s="44"/>
      <c r="F163" s="47"/>
      <c r="G163" s="48"/>
      <c r="H163" s="49"/>
      <c r="I163" s="47"/>
      <c r="J163" s="47"/>
      <c r="K163" s="49"/>
      <c r="L163" s="49"/>
      <c r="M163" s="49"/>
    </row>
    <row r="164" spans="1:13" s="50" customFormat="1" x14ac:dyDescent="0.25">
      <c r="A164" s="43"/>
      <c r="B164" s="44"/>
      <c r="C164" s="44"/>
      <c r="D164" s="45"/>
      <c r="E164" s="44"/>
      <c r="F164" s="47"/>
      <c r="G164" s="48"/>
      <c r="H164" s="49"/>
      <c r="I164" s="47"/>
      <c r="J164" s="47"/>
      <c r="K164" s="49"/>
      <c r="L164" s="49"/>
      <c r="M164" s="49"/>
    </row>
    <row r="165" spans="1:13" s="50" customFormat="1" x14ac:dyDescent="0.25">
      <c r="A165" s="43"/>
      <c r="B165" s="44"/>
      <c r="C165" s="44"/>
      <c r="D165" s="45"/>
      <c r="E165" s="44"/>
      <c r="F165" s="47"/>
      <c r="G165" s="48"/>
      <c r="H165" s="49"/>
      <c r="I165" s="51"/>
      <c r="J165" s="47"/>
      <c r="K165" s="49"/>
      <c r="L165" s="49"/>
      <c r="M165" s="49"/>
    </row>
    <row r="166" spans="1:13" s="50" customFormat="1" x14ac:dyDescent="0.25">
      <c r="A166" s="43"/>
      <c r="B166" s="44"/>
      <c r="C166" s="44"/>
      <c r="D166" s="44"/>
      <c r="E166" s="46"/>
      <c r="F166" s="47"/>
      <c r="G166" s="48"/>
      <c r="H166" s="49"/>
      <c r="I166" s="47"/>
      <c r="J166" s="47"/>
      <c r="K166" s="49"/>
      <c r="L166" s="49"/>
      <c r="M166" s="49"/>
    </row>
    <row r="167" spans="1:13" s="50" customFormat="1" x14ac:dyDescent="0.25">
      <c r="A167" s="43"/>
      <c r="B167" s="44"/>
      <c r="C167" s="44"/>
      <c r="D167" s="45"/>
      <c r="E167" s="44"/>
      <c r="F167" s="47"/>
      <c r="G167" s="48"/>
      <c r="H167" s="49"/>
      <c r="I167" s="47"/>
      <c r="J167" s="47"/>
      <c r="K167" s="49"/>
      <c r="L167" s="49"/>
      <c r="M167" s="49"/>
    </row>
    <row r="168" spans="1:13" s="50" customFormat="1" x14ac:dyDescent="0.25">
      <c r="A168" s="43"/>
      <c r="B168" s="44"/>
      <c r="C168" s="44"/>
      <c r="D168" s="45"/>
      <c r="E168" s="44"/>
      <c r="F168" s="47"/>
      <c r="G168" s="48"/>
      <c r="H168" s="49"/>
      <c r="I168" s="47"/>
      <c r="J168" s="47"/>
      <c r="K168" s="49"/>
      <c r="L168" s="49"/>
      <c r="M168" s="49"/>
    </row>
    <row r="169" spans="1:13" s="50" customFormat="1" x14ac:dyDescent="0.25">
      <c r="A169" s="43"/>
      <c r="B169" s="44"/>
      <c r="C169" s="44"/>
      <c r="D169" s="45"/>
      <c r="E169" s="44"/>
      <c r="F169" s="47"/>
      <c r="G169" s="48"/>
      <c r="H169" s="49"/>
      <c r="I169" s="47"/>
      <c r="J169" s="47"/>
      <c r="K169" s="49"/>
      <c r="L169" s="49"/>
      <c r="M169" s="49"/>
    </row>
    <row r="170" spans="1:13" s="50" customFormat="1" x14ac:dyDescent="0.25">
      <c r="A170" s="43"/>
      <c r="B170" s="44"/>
      <c r="C170" s="44"/>
      <c r="D170" s="45"/>
      <c r="E170" s="44"/>
      <c r="F170" s="47"/>
      <c r="G170" s="48"/>
      <c r="H170" s="49"/>
      <c r="I170" s="47"/>
      <c r="J170" s="47"/>
      <c r="K170" s="49"/>
      <c r="L170" s="49"/>
      <c r="M170" s="49"/>
    </row>
    <row r="171" spans="1:13" s="50" customFormat="1" x14ac:dyDescent="0.25">
      <c r="A171" s="43"/>
      <c r="B171" s="44"/>
      <c r="C171" s="44"/>
      <c r="D171" s="45"/>
      <c r="E171" s="44"/>
      <c r="F171" s="47"/>
      <c r="G171" s="48"/>
      <c r="H171" s="49"/>
      <c r="I171" s="47"/>
      <c r="J171" s="47"/>
      <c r="K171" s="49"/>
      <c r="L171" s="49"/>
      <c r="M171" s="49"/>
    </row>
    <row r="172" spans="1:13" s="50" customFormat="1" x14ac:dyDescent="0.25">
      <c r="A172" s="43"/>
      <c r="B172" s="44"/>
      <c r="C172" s="44"/>
      <c r="D172" s="45"/>
      <c r="E172" s="44"/>
      <c r="F172" s="47"/>
      <c r="G172" s="48"/>
      <c r="H172" s="49"/>
      <c r="I172" s="47"/>
      <c r="J172" s="47"/>
      <c r="K172" s="49"/>
      <c r="L172" s="49"/>
      <c r="M172" s="49"/>
    </row>
    <row r="173" spans="1:13" s="50" customFormat="1" x14ac:dyDescent="0.25">
      <c r="A173" s="43"/>
      <c r="B173" s="44"/>
      <c r="C173" s="44"/>
      <c r="D173" s="44"/>
      <c r="E173" s="44"/>
      <c r="F173" s="47"/>
      <c r="G173" s="48"/>
      <c r="H173" s="49"/>
      <c r="I173" s="47"/>
      <c r="J173" s="47"/>
      <c r="K173" s="49"/>
      <c r="L173" s="49"/>
      <c r="M173" s="49"/>
    </row>
    <row r="174" spans="1:13" s="50" customFormat="1" x14ac:dyDescent="0.25">
      <c r="A174" s="43"/>
      <c r="B174" s="44"/>
      <c r="C174" s="44"/>
      <c r="D174" s="45"/>
      <c r="E174" s="46"/>
      <c r="F174" s="47"/>
      <c r="G174" s="48"/>
      <c r="H174" s="49"/>
      <c r="I174" s="47"/>
      <c r="J174" s="47"/>
      <c r="K174" s="49"/>
      <c r="L174" s="49"/>
      <c r="M174" s="49"/>
    </row>
    <row r="175" spans="1:13" s="50" customFormat="1" x14ac:dyDescent="0.25">
      <c r="A175" s="43"/>
      <c r="B175" s="44"/>
      <c r="C175" s="44"/>
      <c r="D175" s="45"/>
      <c r="E175" s="46"/>
      <c r="F175" s="47"/>
      <c r="G175" s="48"/>
      <c r="H175" s="49"/>
      <c r="I175" s="47"/>
      <c r="J175" s="47"/>
      <c r="K175" s="49"/>
      <c r="L175" s="49"/>
      <c r="M175" s="49"/>
    </row>
    <row r="176" spans="1:13" s="50" customFormat="1" x14ac:dyDescent="0.25">
      <c r="A176" s="43"/>
      <c r="B176" s="44"/>
      <c r="C176" s="44"/>
      <c r="D176" s="45"/>
      <c r="E176" s="46"/>
      <c r="F176" s="47"/>
      <c r="G176" s="48"/>
      <c r="H176" s="49"/>
      <c r="I176" s="47"/>
      <c r="J176" s="47"/>
      <c r="K176" s="49"/>
      <c r="L176" s="49"/>
      <c r="M176" s="49"/>
    </row>
    <row r="177" spans="1:13" s="50" customFormat="1" x14ac:dyDescent="0.25">
      <c r="A177" s="43"/>
      <c r="B177" s="44"/>
      <c r="C177" s="44"/>
      <c r="D177" s="45"/>
      <c r="E177" s="46"/>
      <c r="F177" s="47"/>
      <c r="G177" s="48"/>
      <c r="H177" s="49"/>
      <c r="I177" s="47"/>
      <c r="J177" s="47"/>
      <c r="K177" s="49"/>
      <c r="L177" s="49"/>
      <c r="M177" s="49"/>
    </row>
    <row r="178" spans="1:13" s="50" customFormat="1" x14ac:dyDescent="0.25">
      <c r="A178" s="43"/>
      <c r="B178" s="44"/>
      <c r="C178" s="44"/>
      <c r="D178" s="45"/>
      <c r="E178" s="46"/>
      <c r="F178" s="47"/>
      <c r="G178" s="48"/>
      <c r="H178" s="49"/>
      <c r="I178" s="47"/>
      <c r="J178" s="47"/>
      <c r="K178" s="49"/>
      <c r="L178" s="49"/>
      <c r="M178" s="49"/>
    </row>
    <row r="179" spans="1:13" s="50" customFormat="1" x14ac:dyDescent="0.25">
      <c r="A179" s="43"/>
      <c r="B179" s="44"/>
      <c r="C179" s="44"/>
      <c r="D179" s="45"/>
      <c r="E179" s="46"/>
      <c r="F179" s="47"/>
      <c r="G179" s="48"/>
      <c r="H179" s="49"/>
      <c r="I179" s="47"/>
      <c r="J179" s="47"/>
      <c r="K179" s="49"/>
      <c r="L179" s="49"/>
      <c r="M179" s="49"/>
    </row>
    <row r="180" spans="1:13" s="50" customFormat="1" x14ac:dyDescent="0.25">
      <c r="A180" s="43"/>
      <c r="B180" s="44"/>
      <c r="C180" s="44"/>
      <c r="D180" s="45"/>
      <c r="E180" s="46"/>
      <c r="F180" s="47"/>
      <c r="G180" s="48"/>
      <c r="H180" s="49"/>
      <c r="I180" s="47"/>
      <c r="J180" s="47"/>
      <c r="K180" s="49"/>
      <c r="L180" s="49"/>
      <c r="M180" s="49"/>
    </row>
    <row r="181" spans="1:13" s="50" customFormat="1" x14ac:dyDescent="0.25">
      <c r="A181" s="43"/>
      <c r="B181" s="44"/>
      <c r="C181" s="44"/>
      <c r="D181" s="45"/>
      <c r="E181" s="46"/>
      <c r="F181" s="47"/>
      <c r="G181" s="48"/>
      <c r="H181" s="49"/>
      <c r="I181" s="47"/>
      <c r="J181" s="47"/>
      <c r="K181" s="49"/>
      <c r="L181" s="49"/>
      <c r="M181" s="49"/>
    </row>
    <row r="182" spans="1:13" s="50" customFormat="1" x14ac:dyDescent="0.25">
      <c r="A182" s="43"/>
      <c r="B182" s="44"/>
      <c r="C182" s="44"/>
      <c r="D182" s="44"/>
      <c r="E182" s="44"/>
      <c r="F182" s="47"/>
      <c r="G182" s="48"/>
      <c r="H182" s="49"/>
      <c r="I182" s="47"/>
      <c r="J182" s="47"/>
      <c r="K182" s="49"/>
      <c r="L182" s="49"/>
      <c r="M182" s="49"/>
    </row>
    <row r="183" spans="1:13" s="50" customFormat="1" x14ac:dyDescent="0.25">
      <c r="A183" s="43"/>
      <c r="B183" s="44"/>
      <c r="C183" s="44"/>
      <c r="D183" s="45"/>
      <c r="E183" s="46"/>
      <c r="F183" s="47"/>
      <c r="G183" s="48"/>
      <c r="H183" s="49"/>
      <c r="I183" s="47"/>
      <c r="J183" s="47"/>
      <c r="K183" s="49"/>
      <c r="L183" s="49"/>
      <c r="M183" s="49"/>
    </row>
    <row r="184" spans="1:13" s="50" customFormat="1" x14ac:dyDescent="0.25">
      <c r="A184" s="43"/>
      <c r="B184" s="44"/>
      <c r="C184" s="44"/>
      <c r="D184" s="45"/>
      <c r="E184" s="46"/>
      <c r="F184" s="47"/>
      <c r="G184" s="48"/>
      <c r="H184" s="49"/>
      <c r="I184" s="47"/>
      <c r="J184" s="47"/>
      <c r="K184" s="49"/>
      <c r="L184" s="49"/>
      <c r="M184" s="49"/>
    </row>
    <row r="185" spans="1:13" s="50" customFormat="1" x14ac:dyDescent="0.25">
      <c r="A185" s="43"/>
      <c r="B185" s="44"/>
      <c r="C185" s="44"/>
      <c r="D185" s="45"/>
      <c r="E185" s="46"/>
      <c r="F185" s="47"/>
      <c r="G185" s="48"/>
      <c r="H185" s="49"/>
      <c r="I185" s="47"/>
      <c r="J185" s="47"/>
      <c r="K185" s="49"/>
      <c r="L185" s="49"/>
      <c r="M185" s="49"/>
    </row>
    <row r="186" spans="1:13" s="50" customFormat="1" x14ac:dyDescent="0.25">
      <c r="A186" s="43"/>
      <c r="B186" s="44"/>
      <c r="C186" s="44"/>
      <c r="D186" s="45"/>
      <c r="E186" s="46"/>
      <c r="F186" s="47"/>
      <c r="G186" s="48"/>
      <c r="H186" s="49"/>
      <c r="I186" s="51"/>
      <c r="J186" s="47"/>
      <c r="K186" s="49"/>
      <c r="L186" s="49"/>
      <c r="M186" s="49"/>
    </row>
    <row r="187" spans="1:13" s="50" customFormat="1" x14ac:dyDescent="0.25">
      <c r="A187" s="43"/>
      <c r="B187" s="44"/>
      <c r="C187" s="44"/>
      <c r="D187" s="45"/>
      <c r="E187" s="46"/>
      <c r="F187" s="47"/>
      <c r="G187" s="48"/>
      <c r="H187" s="49"/>
      <c r="I187" s="47"/>
      <c r="J187" s="47"/>
      <c r="K187" s="49"/>
      <c r="L187" s="49"/>
      <c r="M187" s="49"/>
    </row>
    <row r="188" spans="1:13" s="50" customFormat="1" x14ac:dyDescent="0.25">
      <c r="A188" s="43"/>
      <c r="B188" s="44"/>
      <c r="C188" s="44"/>
      <c r="D188" s="45"/>
      <c r="E188" s="46"/>
      <c r="F188" s="47"/>
      <c r="G188" s="48"/>
      <c r="H188" s="49"/>
      <c r="I188" s="47"/>
      <c r="J188" s="47"/>
      <c r="K188" s="49"/>
      <c r="L188" s="49"/>
      <c r="M188" s="49"/>
    </row>
    <row r="189" spans="1:13" s="50" customFormat="1" x14ac:dyDescent="0.25">
      <c r="A189" s="43"/>
      <c r="B189" s="44"/>
      <c r="C189" s="44"/>
      <c r="D189" s="45"/>
      <c r="E189" s="46"/>
      <c r="F189" s="47"/>
      <c r="G189" s="48"/>
      <c r="H189" s="49"/>
      <c r="I189" s="47"/>
      <c r="J189" s="47"/>
      <c r="K189" s="49"/>
      <c r="L189" s="49"/>
      <c r="M189" s="49"/>
    </row>
    <row r="190" spans="1:13" s="50" customFormat="1" x14ac:dyDescent="0.25">
      <c r="A190" s="43"/>
      <c r="B190" s="44"/>
      <c r="C190" s="44"/>
      <c r="D190" s="44"/>
      <c r="E190" s="46"/>
      <c r="F190" s="47"/>
      <c r="G190" s="48"/>
      <c r="H190" s="49"/>
      <c r="I190" s="47"/>
      <c r="J190" s="47"/>
      <c r="K190" s="49"/>
      <c r="L190" s="49"/>
      <c r="M190" s="49"/>
    </row>
    <row r="191" spans="1:13" s="50" customFormat="1" x14ac:dyDescent="0.25">
      <c r="A191" s="43"/>
      <c r="B191" s="44"/>
      <c r="C191" s="44"/>
      <c r="D191" s="45"/>
      <c r="E191" s="44"/>
      <c r="F191" s="47"/>
      <c r="G191" s="48"/>
      <c r="H191" s="49"/>
      <c r="I191" s="47"/>
      <c r="J191" s="47"/>
      <c r="K191" s="49"/>
      <c r="L191" s="49"/>
      <c r="M191" s="49"/>
    </row>
    <row r="192" spans="1:13" s="50" customFormat="1" x14ac:dyDescent="0.25">
      <c r="A192" s="43"/>
      <c r="B192" s="44"/>
      <c r="C192" s="44"/>
      <c r="D192" s="45"/>
      <c r="E192" s="44"/>
      <c r="F192" s="47"/>
      <c r="G192" s="48"/>
      <c r="H192" s="49"/>
      <c r="I192" s="47"/>
      <c r="J192" s="47"/>
      <c r="K192" s="49"/>
      <c r="L192" s="49"/>
      <c r="M192" s="49"/>
    </row>
    <row r="193" spans="1:13" s="50" customFormat="1" x14ac:dyDescent="0.25">
      <c r="A193" s="43"/>
      <c r="B193" s="44"/>
      <c r="C193" s="44"/>
      <c r="D193" s="45"/>
      <c r="E193" s="44"/>
      <c r="F193" s="47"/>
      <c r="G193" s="48"/>
      <c r="H193" s="49"/>
      <c r="I193" s="47"/>
      <c r="J193" s="47"/>
      <c r="K193" s="49"/>
      <c r="L193" s="49"/>
      <c r="M193" s="49"/>
    </row>
    <row r="194" spans="1:13" s="50" customFormat="1" x14ac:dyDescent="0.25">
      <c r="A194" s="43"/>
      <c r="B194" s="44"/>
      <c r="C194" s="44"/>
      <c r="D194" s="45"/>
      <c r="E194" s="44"/>
      <c r="F194" s="47"/>
      <c r="G194" s="48"/>
      <c r="H194" s="49"/>
      <c r="I194" s="47"/>
      <c r="J194" s="47"/>
      <c r="K194" s="49"/>
      <c r="L194" s="49"/>
      <c r="M194" s="49"/>
    </row>
    <row r="195" spans="1:13" s="50" customFormat="1" x14ac:dyDescent="0.25">
      <c r="A195" s="43"/>
      <c r="B195" s="44"/>
      <c r="C195" s="44"/>
      <c r="D195" s="44"/>
      <c r="E195" s="46"/>
      <c r="F195" s="47"/>
      <c r="G195" s="48"/>
      <c r="H195" s="49"/>
      <c r="I195" s="47"/>
      <c r="J195" s="47"/>
      <c r="K195" s="49"/>
      <c r="L195" s="49"/>
      <c r="M195" s="49"/>
    </row>
    <row r="196" spans="1:13" s="50" customFormat="1" x14ac:dyDescent="0.25">
      <c r="A196" s="43"/>
      <c r="B196" s="44"/>
      <c r="C196" s="44"/>
      <c r="D196" s="45"/>
      <c r="E196" s="44"/>
      <c r="F196" s="47"/>
      <c r="G196" s="48"/>
      <c r="H196" s="49"/>
      <c r="I196" s="47"/>
      <c r="J196" s="47"/>
      <c r="K196" s="49"/>
      <c r="L196" s="49"/>
      <c r="M196" s="49"/>
    </row>
    <row r="197" spans="1:13" s="50" customFormat="1" x14ac:dyDescent="0.25">
      <c r="A197" s="43"/>
      <c r="B197" s="44"/>
      <c r="C197" s="44"/>
      <c r="D197" s="45"/>
      <c r="E197" s="44"/>
      <c r="F197" s="47"/>
      <c r="G197" s="48"/>
      <c r="H197" s="49"/>
      <c r="I197" s="47"/>
      <c r="J197" s="47"/>
      <c r="K197" s="49"/>
      <c r="L197" s="49"/>
      <c r="M197" s="49"/>
    </row>
    <row r="198" spans="1:13" s="50" customFormat="1" x14ac:dyDescent="0.25">
      <c r="A198" s="43"/>
      <c r="B198" s="44"/>
      <c r="C198" s="44"/>
      <c r="D198" s="45"/>
      <c r="E198" s="44"/>
      <c r="F198" s="47"/>
      <c r="G198" s="48"/>
      <c r="H198" s="49"/>
      <c r="I198" s="47"/>
      <c r="J198" s="47"/>
      <c r="K198" s="49"/>
      <c r="L198" s="49"/>
      <c r="M198" s="49"/>
    </row>
    <row r="199" spans="1:13" s="50" customFormat="1" x14ac:dyDescent="0.25">
      <c r="A199" s="43"/>
      <c r="B199" s="44"/>
      <c r="C199" s="44"/>
      <c r="D199" s="45"/>
      <c r="E199" s="44"/>
      <c r="F199" s="47"/>
      <c r="G199" s="48"/>
      <c r="H199" s="49"/>
      <c r="I199" s="47"/>
      <c r="J199" s="47"/>
      <c r="K199" s="49"/>
      <c r="L199" s="49"/>
      <c r="M199" s="49"/>
    </row>
    <row r="200" spans="1:13" s="50" customFormat="1" x14ac:dyDescent="0.25">
      <c r="A200" s="43"/>
      <c r="B200" s="44"/>
      <c r="C200" s="44"/>
      <c r="D200" s="45"/>
      <c r="E200" s="44"/>
      <c r="F200" s="47"/>
      <c r="G200" s="48"/>
      <c r="H200" s="49"/>
      <c r="I200" s="47"/>
      <c r="J200" s="47"/>
      <c r="K200" s="49"/>
      <c r="L200" s="49"/>
      <c r="M200" s="49"/>
    </row>
    <row r="201" spans="1:13" s="50" customFormat="1" x14ac:dyDescent="0.25">
      <c r="A201" s="43"/>
      <c r="B201" s="44"/>
      <c r="C201" s="44"/>
      <c r="D201" s="45"/>
      <c r="E201" s="44"/>
      <c r="F201" s="47"/>
      <c r="G201" s="48"/>
      <c r="H201" s="49"/>
      <c r="I201" s="47"/>
      <c r="J201" s="47"/>
      <c r="K201" s="49"/>
      <c r="L201" s="49"/>
      <c r="M201" s="49"/>
    </row>
    <row r="202" spans="1:13" s="50" customFormat="1" x14ac:dyDescent="0.25">
      <c r="A202" s="43"/>
      <c r="B202" s="44"/>
      <c r="C202" s="44"/>
      <c r="D202" s="45"/>
      <c r="E202" s="44"/>
      <c r="F202" s="47"/>
      <c r="G202" s="48"/>
      <c r="H202" s="49"/>
      <c r="I202" s="47"/>
      <c r="J202" s="47"/>
      <c r="K202" s="49"/>
      <c r="L202" s="49"/>
      <c r="M202" s="49"/>
    </row>
    <row r="203" spans="1:13" s="50" customFormat="1" x14ac:dyDescent="0.25">
      <c r="A203" s="43"/>
      <c r="B203" s="44"/>
      <c r="C203" s="44"/>
      <c r="D203" s="45"/>
      <c r="E203" s="44"/>
      <c r="F203" s="47"/>
      <c r="G203" s="48"/>
      <c r="H203" s="49"/>
      <c r="I203" s="47"/>
      <c r="J203" s="47"/>
      <c r="K203" s="49"/>
      <c r="L203" s="49"/>
      <c r="M203" s="49"/>
    </row>
    <row r="204" spans="1:13" s="50" customFormat="1" x14ac:dyDescent="0.25">
      <c r="A204" s="43"/>
      <c r="B204" s="44"/>
      <c r="C204" s="44"/>
      <c r="D204" s="44"/>
      <c r="E204" s="44"/>
      <c r="F204" s="47"/>
      <c r="G204" s="48"/>
      <c r="H204" s="49"/>
      <c r="I204" s="47"/>
      <c r="J204" s="47"/>
      <c r="K204" s="49"/>
      <c r="L204" s="49"/>
      <c r="M204" s="49"/>
    </row>
    <row r="205" spans="1:13" s="50" customFormat="1" x14ac:dyDescent="0.25">
      <c r="A205" s="43"/>
      <c r="B205" s="44"/>
      <c r="C205" s="44"/>
      <c r="D205" s="45"/>
      <c r="E205" s="46"/>
      <c r="F205" s="47"/>
      <c r="G205" s="48"/>
      <c r="H205" s="49"/>
      <c r="I205" s="47"/>
      <c r="J205" s="47"/>
      <c r="K205" s="49"/>
      <c r="L205" s="49"/>
      <c r="M205" s="49"/>
    </row>
    <row r="206" spans="1:13" s="50" customFormat="1" x14ac:dyDescent="0.25">
      <c r="A206" s="43"/>
      <c r="B206" s="44"/>
      <c r="C206" s="44"/>
      <c r="D206" s="45"/>
      <c r="E206" s="46"/>
      <c r="F206" s="47"/>
      <c r="G206" s="48"/>
      <c r="H206" s="49"/>
      <c r="I206" s="47"/>
      <c r="J206" s="47"/>
      <c r="K206" s="49"/>
      <c r="L206" s="49"/>
      <c r="M206" s="49"/>
    </row>
    <row r="207" spans="1:13" s="50" customFormat="1" x14ac:dyDescent="0.25">
      <c r="A207" s="43"/>
      <c r="B207" s="44"/>
      <c r="C207" s="44"/>
      <c r="D207" s="45"/>
      <c r="E207" s="46"/>
      <c r="F207" s="47"/>
      <c r="G207" s="48"/>
      <c r="H207" s="49"/>
      <c r="I207" s="47"/>
      <c r="J207" s="47"/>
      <c r="K207" s="49"/>
      <c r="L207" s="49"/>
      <c r="M207" s="49"/>
    </row>
    <row r="208" spans="1:13" s="50" customFormat="1" x14ac:dyDescent="0.25">
      <c r="A208" s="43"/>
      <c r="B208" s="44"/>
      <c r="C208" s="44"/>
      <c r="D208" s="45"/>
      <c r="E208" s="46"/>
      <c r="F208" s="47"/>
      <c r="G208" s="48"/>
      <c r="H208" s="49"/>
      <c r="I208" s="47"/>
      <c r="J208" s="47"/>
      <c r="K208" s="49"/>
      <c r="L208" s="49"/>
      <c r="M208" s="49"/>
    </row>
    <row r="209" spans="1:13" s="50" customFormat="1" x14ac:dyDescent="0.25">
      <c r="A209" s="43"/>
      <c r="B209" s="44"/>
      <c r="C209" s="44"/>
      <c r="D209" s="45"/>
      <c r="E209" s="46"/>
      <c r="F209" s="47"/>
      <c r="G209" s="48"/>
      <c r="H209" s="49"/>
      <c r="I209" s="47"/>
      <c r="J209" s="47"/>
      <c r="K209" s="49"/>
      <c r="L209" s="49"/>
      <c r="M209" s="49"/>
    </row>
    <row r="210" spans="1:13" s="50" customFormat="1" x14ac:dyDescent="0.25">
      <c r="A210" s="43"/>
      <c r="B210" s="44"/>
      <c r="C210" s="44"/>
      <c r="D210" s="45"/>
      <c r="E210" s="46"/>
      <c r="F210" s="47"/>
      <c r="G210" s="48"/>
      <c r="H210" s="49"/>
      <c r="I210" s="47"/>
      <c r="J210" s="47"/>
      <c r="K210" s="49"/>
      <c r="L210" s="49"/>
      <c r="M210" s="49"/>
    </row>
    <row r="211" spans="1:13" s="50" customFormat="1" x14ac:dyDescent="0.25">
      <c r="A211" s="43"/>
      <c r="B211" s="44"/>
      <c r="C211" s="44"/>
      <c r="D211" s="45"/>
      <c r="E211" s="46"/>
      <c r="F211" s="47"/>
      <c r="G211" s="48"/>
      <c r="H211" s="49"/>
      <c r="I211" s="47"/>
      <c r="J211" s="47"/>
      <c r="K211" s="49"/>
      <c r="L211" s="49"/>
      <c r="M211" s="49"/>
    </row>
    <row r="212" spans="1:13" s="50" customFormat="1" x14ac:dyDescent="0.25">
      <c r="A212" s="43"/>
      <c r="B212" s="44"/>
      <c r="C212" s="44"/>
      <c r="D212" s="45"/>
      <c r="E212" s="46"/>
      <c r="F212" s="47"/>
      <c r="G212" s="48"/>
      <c r="H212" s="49"/>
      <c r="I212" s="47"/>
      <c r="J212" s="47"/>
      <c r="K212" s="49"/>
      <c r="L212" s="49"/>
      <c r="M212" s="49"/>
    </row>
    <row r="213" spans="1:13" s="50" customFormat="1" x14ac:dyDescent="0.25">
      <c r="A213" s="43"/>
      <c r="B213" s="44"/>
      <c r="C213" s="44"/>
      <c r="D213" s="44"/>
      <c r="E213" s="44"/>
      <c r="F213" s="47"/>
      <c r="G213" s="48"/>
      <c r="H213" s="49"/>
      <c r="I213" s="47"/>
      <c r="J213" s="47"/>
      <c r="K213" s="49"/>
      <c r="L213" s="49"/>
      <c r="M213" s="49"/>
    </row>
    <row r="214" spans="1:13" s="50" customFormat="1" x14ac:dyDescent="0.25">
      <c r="A214" s="43"/>
      <c r="B214" s="44"/>
      <c r="C214" s="44"/>
      <c r="D214" s="45"/>
      <c r="E214" s="46"/>
      <c r="F214" s="47"/>
      <c r="G214" s="48"/>
      <c r="H214" s="49"/>
      <c r="I214" s="47"/>
      <c r="J214" s="47"/>
      <c r="K214" s="49"/>
      <c r="L214" s="49"/>
      <c r="M214" s="49"/>
    </row>
    <row r="215" spans="1:13" s="50" customFormat="1" x14ac:dyDescent="0.25">
      <c r="A215" s="43"/>
      <c r="B215" s="44"/>
      <c r="C215" s="44"/>
      <c r="D215" s="45"/>
      <c r="E215" s="46"/>
      <c r="F215" s="47"/>
      <c r="G215" s="48"/>
      <c r="H215" s="49"/>
      <c r="I215" s="47"/>
      <c r="J215" s="47"/>
      <c r="K215" s="49"/>
      <c r="L215" s="49"/>
      <c r="M215" s="49"/>
    </row>
    <row r="216" spans="1:13" s="50" customFormat="1" x14ac:dyDescent="0.25">
      <c r="A216" s="43"/>
      <c r="B216" s="44"/>
      <c r="C216" s="44"/>
      <c r="D216" s="45"/>
      <c r="E216" s="46"/>
      <c r="F216" s="47"/>
      <c r="G216" s="48"/>
      <c r="H216" s="49"/>
      <c r="I216" s="47"/>
      <c r="J216" s="47"/>
      <c r="K216" s="49"/>
      <c r="L216" s="49"/>
      <c r="M216" s="49"/>
    </row>
    <row r="217" spans="1:13" s="50" customFormat="1" x14ac:dyDescent="0.25">
      <c r="A217" s="43"/>
      <c r="B217" s="44"/>
      <c r="C217" s="44"/>
      <c r="D217" s="45"/>
      <c r="E217" s="46"/>
      <c r="F217" s="47"/>
      <c r="G217" s="48"/>
      <c r="H217" s="49"/>
      <c r="I217" s="47"/>
      <c r="J217" s="47"/>
      <c r="K217" s="49"/>
      <c r="L217" s="49"/>
      <c r="M217" s="49"/>
    </row>
    <row r="218" spans="1:13" s="50" customFormat="1" x14ac:dyDescent="0.25">
      <c r="A218" s="43"/>
      <c r="B218" s="44"/>
      <c r="C218" s="44"/>
      <c r="D218" s="44"/>
      <c r="E218" s="46"/>
      <c r="F218" s="47"/>
      <c r="G218" s="48"/>
      <c r="H218" s="49"/>
      <c r="I218" s="47"/>
      <c r="J218" s="47"/>
      <c r="K218" s="49"/>
      <c r="L218" s="49"/>
      <c r="M218" s="49"/>
    </row>
    <row r="219" spans="1:13" s="50" customFormat="1" x14ac:dyDescent="0.25">
      <c r="A219" s="43"/>
      <c r="B219" s="44"/>
      <c r="C219" s="44"/>
      <c r="D219" s="45"/>
      <c r="E219" s="46"/>
      <c r="F219" s="47"/>
      <c r="G219" s="48"/>
      <c r="H219" s="49"/>
      <c r="I219" s="47"/>
      <c r="J219" s="47"/>
      <c r="K219" s="49"/>
      <c r="L219" s="49"/>
      <c r="M219" s="49"/>
    </row>
    <row r="220" spans="1:13" s="50" customFormat="1" x14ac:dyDescent="0.25">
      <c r="A220" s="43"/>
      <c r="B220" s="44"/>
      <c r="C220" s="44"/>
      <c r="D220" s="45"/>
      <c r="E220" s="46"/>
      <c r="F220" s="47"/>
      <c r="G220" s="48"/>
      <c r="H220" s="49"/>
      <c r="I220" s="47"/>
      <c r="J220" s="47"/>
      <c r="K220" s="49"/>
      <c r="L220" s="49"/>
      <c r="M220" s="49"/>
    </row>
    <row r="221" spans="1:13" s="50" customFormat="1" x14ac:dyDescent="0.25">
      <c r="A221" s="43"/>
      <c r="B221" s="44"/>
      <c r="C221" s="44"/>
      <c r="D221" s="45"/>
      <c r="E221" s="46"/>
      <c r="F221" s="47"/>
      <c r="G221" s="48"/>
      <c r="H221" s="49"/>
      <c r="I221" s="47"/>
      <c r="J221" s="47"/>
      <c r="K221" s="49"/>
      <c r="L221" s="49"/>
      <c r="M221" s="49"/>
    </row>
    <row r="222" spans="1:13" s="50" customFormat="1" x14ac:dyDescent="0.25">
      <c r="A222" s="43"/>
      <c r="B222" s="44"/>
      <c r="C222" s="44"/>
      <c r="D222" s="45"/>
      <c r="E222" s="46"/>
      <c r="F222" s="47"/>
      <c r="G222" s="48"/>
      <c r="H222" s="49"/>
      <c r="I222" s="47"/>
      <c r="J222" s="47"/>
      <c r="K222" s="49"/>
      <c r="L222" s="49"/>
      <c r="M222" s="49"/>
    </row>
    <row r="223" spans="1:13" s="50" customFormat="1" x14ac:dyDescent="0.25">
      <c r="A223" s="43"/>
      <c r="B223" s="44"/>
      <c r="C223" s="44"/>
      <c r="D223" s="45"/>
      <c r="E223" s="46"/>
      <c r="F223" s="47"/>
      <c r="G223" s="48"/>
      <c r="H223" s="49"/>
      <c r="I223" s="47"/>
      <c r="J223" s="47"/>
      <c r="K223" s="49"/>
      <c r="L223" s="49"/>
      <c r="M223" s="49"/>
    </row>
    <row r="224" spans="1:13" s="50" customFormat="1" x14ac:dyDescent="0.25">
      <c r="A224" s="43"/>
      <c r="B224" s="44"/>
      <c r="C224" s="44"/>
      <c r="D224" s="45"/>
      <c r="E224" s="46"/>
      <c r="F224" s="47"/>
      <c r="G224" s="48"/>
      <c r="H224" s="49"/>
      <c r="I224" s="47"/>
      <c r="J224" s="47"/>
      <c r="K224" s="49"/>
      <c r="L224" s="49"/>
      <c r="M224" s="49"/>
    </row>
    <row r="225" spans="1:13" s="50" customFormat="1" x14ac:dyDescent="0.25">
      <c r="A225" s="43"/>
      <c r="B225" s="44"/>
      <c r="C225" s="44"/>
      <c r="D225" s="44"/>
      <c r="E225" s="46"/>
      <c r="F225" s="47"/>
      <c r="G225" s="48"/>
      <c r="H225" s="49"/>
      <c r="I225" s="47"/>
      <c r="J225" s="47"/>
      <c r="K225" s="49"/>
      <c r="L225" s="49"/>
      <c r="M225" s="49"/>
    </row>
    <row r="226" spans="1:13" s="50" customFormat="1" x14ac:dyDescent="0.25">
      <c r="A226" s="43"/>
      <c r="B226" s="44"/>
      <c r="C226" s="44"/>
      <c r="D226" s="45"/>
      <c r="E226" s="46"/>
      <c r="F226" s="47"/>
      <c r="G226" s="48"/>
      <c r="H226" s="49"/>
      <c r="I226" s="47"/>
      <c r="J226" s="47"/>
      <c r="K226" s="49"/>
      <c r="L226" s="49"/>
      <c r="M226" s="49"/>
    </row>
    <row r="227" spans="1:13" s="50" customFormat="1" x14ac:dyDescent="0.25">
      <c r="A227" s="43"/>
      <c r="B227" s="44"/>
      <c r="C227" s="44"/>
      <c r="D227" s="45"/>
      <c r="E227" s="46"/>
      <c r="F227" s="47"/>
      <c r="G227" s="48"/>
      <c r="H227" s="49"/>
      <c r="I227" s="47"/>
      <c r="J227" s="47"/>
      <c r="K227" s="49"/>
      <c r="L227" s="49"/>
      <c r="M227" s="49"/>
    </row>
    <row r="228" spans="1:13" s="50" customFormat="1" x14ac:dyDescent="0.25">
      <c r="A228" s="43"/>
      <c r="B228" s="44"/>
      <c r="C228" s="44"/>
      <c r="D228" s="45"/>
      <c r="E228" s="46"/>
      <c r="F228" s="47"/>
      <c r="G228" s="48"/>
      <c r="H228" s="49"/>
      <c r="I228" s="47"/>
      <c r="J228" s="47"/>
      <c r="K228" s="49"/>
      <c r="L228" s="49"/>
      <c r="M228" s="49"/>
    </row>
    <row r="229" spans="1:13" s="50" customFormat="1" x14ac:dyDescent="0.25">
      <c r="A229" s="43"/>
      <c r="B229" s="44"/>
      <c r="C229" s="44"/>
      <c r="D229" s="44"/>
      <c r="E229" s="44"/>
      <c r="F229" s="47"/>
      <c r="G229" s="48"/>
      <c r="H229" s="49"/>
      <c r="I229" s="47"/>
      <c r="J229" s="47"/>
      <c r="K229" s="49"/>
      <c r="L229" s="49"/>
      <c r="M229" s="49"/>
    </row>
    <row r="230" spans="1:13" s="50" customFormat="1" x14ac:dyDescent="0.25">
      <c r="A230" s="43"/>
      <c r="B230" s="44"/>
      <c r="C230" s="44"/>
      <c r="D230" s="45"/>
      <c r="E230" s="46"/>
      <c r="F230" s="47"/>
      <c r="G230" s="48"/>
      <c r="H230" s="49"/>
      <c r="I230" s="51"/>
      <c r="J230" s="47"/>
      <c r="K230" s="49"/>
      <c r="L230" s="49"/>
      <c r="M230" s="49"/>
    </row>
    <row r="231" spans="1:13" s="50" customFormat="1" x14ac:dyDescent="0.25">
      <c r="A231" s="43"/>
      <c r="B231" s="44"/>
      <c r="C231" s="44"/>
      <c r="D231" s="45"/>
      <c r="E231" s="46"/>
      <c r="F231" s="47"/>
      <c r="G231" s="48"/>
      <c r="H231" s="49"/>
      <c r="I231" s="47"/>
      <c r="J231" s="47"/>
      <c r="K231" s="49"/>
      <c r="L231" s="49"/>
      <c r="M231" s="49"/>
    </row>
    <row r="232" spans="1:13" s="50" customFormat="1" x14ac:dyDescent="0.25">
      <c r="A232" s="43"/>
      <c r="B232" s="44"/>
      <c r="C232" s="44"/>
      <c r="D232" s="45"/>
      <c r="E232" s="46"/>
      <c r="F232" s="47"/>
      <c r="G232" s="48"/>
      <c r="H232" s="49"/>
      <c r="I232" s="47"/>
      <c r="J232" s="47"/>
      <c r="K232" s="49"/>
      <c r="L232" s="49"/>
      <c r="M232" s="49"/>
    </row>
    <row r="233" spans="1:13" s="50" customFormat="1" x14ac:dyDescent="0.25">
      <c r="A233" s="43"/>
      <c r="B233" s="44"/>
      <c r="C233" s="44"/>
      <c r="D233" s="45"/>
      <c r="E233" s="46"/>
      <c r="F233" s="47"/>
      <c r="G233" s="48"/>
      <c r="H233" s="49"/>
      <c r="I233" s="47"/>
      <c r="J233" s="47"/>
      <c r="K233" s="49"/>
      <c r="L233" s="49"/>
      <c r="M233" s="49"/>
    </row>
    <row r="234" spans="1:13" s="50" customFormat="1" x14ac:dyDescent="0.25">
      <c r="A234" s="43"/>
      <c r="B234" s="44"/>
      <c r="C234" s="44"/>
      <c r="D234" s="44"/>
      <c r="E234" s="46"/>
      <c r="F234" s="47"/>
      <c r="G234" s="48"/>
      <c r="H234" s="49"/>
      <c r="I234" s="47"/>
      <c r="J234" s="47"/>
      <c r="K234" s="49"/>
      <c r="L234" s="49"/>
      <c r="M234" s="49"/>
    </row>
    <row r="235" spans="1:13" s="50" customFormat="1" x14ac:dyDescent="0.25">
      <c r="A235" s="43"/>
      <c r="B235" s="44"/>
      <c r="C235" s="44"/>
      <c r="D235" s="45"/>
      <c r="E235" s="44"/>
      <c r="F235" s="47"/>
      <c r="G235" s="48"/>
      <c r="H235" s="49"/>
      <c r="I235" s="47"/>
      <c r="J235" s="47"/>
      <c r="K235" s="49"/>
      <c r="L235" s="49"/>
      <c r="M235" s="49"/>
    </row>
    <row r="236" spans="1:13" s="50" customFormat="1" x14ac:dyDescent="0.25">
      <c r="A236" s="43"/>
      <c r="B236" s="44"/>
      <c r="C236" s="44"/>
      <c r="D236" s="45"/>
      <c r="E236" s="44"/>
      <c r="F236" s="47"/>
      <c r="G236" s="48"/>
      <c r="H236" s="49"/>
      <c r="I236" s="47"/>
      <c r="J236" s="47"/>
      <c r="K236" s="49"/>
      <c r="L236" s="49"/>
      <c r="M236" s="49"/>
    </row>
    <row r="237" spans="1:13" s="50" customFormat="1" x14ac:dyDescent="0.25">
      <c r="A237" s="43"/>
      <c r="B237" s="44"/>
      <c r="C237" s="44"/>
      <c r="D237" s="45"/>
      <c r="E237" s="44"/>
      <c r="F237" s="47"/>
      <c r="G237" s="48"/>
      <c r="H237" s="49"/>
      <c r="I237" s="47"/>
      <c r="J237" s="47"/>
      <c r="K237" s="49"/>
      <c r="L237" s="49"/>
      <c r="M237" s="49"/>
    </row>
    <row r="238" spans="1:13" s="50" customFormat="1" x14ac:dyDescent="0.25">
      <c r="A238" s="43"/>
      <c r="B238" s="44"/>
      <c r="C238" s="44"/>
      <c r="D238" s="45"/>
      <c r="E238" s="44"/>
      <c r="F238" s="47"/>
      <c r="G238" s="48"/>
      <c r="H238" s="49"/>
      <c r="I238" s="47"/>
      <c r="J238" s="47"/>
      <c r="K238" s="49"/>
      <c r="L238" s="49"/>
      <c r="M238" s="49"/>
    </row>
    <row r="239" spans="1:13" s="50" customFormat="1" x14ac:dyDescent="0.25">
      <c r="A239" s="43"/>
      <c r="B239" s="44"/>
      <c r="C239" s="44"/>
      <c r="D239" s="45"/>
      <c r="E239" s="44"/>
      <c r="F239" s="47"/>
      <c r="G239" s="48"/>
      <c r="H239" s="49"/>
      <c r="I239" s="47"/>
      <c r="J239" s="47"/>
      <c r="K239" s="49"/>
      <c r="L239" s="49"/>
      <c r="M239" s="49"/>
    </row>
    <row r="240" spans="1:13" s="50" customFormat="1" x14ac:dyDescent="0.25">
      <c r="A240" s="43"/>
      <c r="B240" s="44"/>
      <c r="C240" s="44"/>
      <c r="D240" s="45"/>
      <c r="E240" s="44"/>
      <c r="F240" s="47"/>
      <c r="G240" s="48"/>
      <c r="H240" s="49"/>
      <c r="I240" s="47"/>
      <c r="J240" s="47"/>
      <c r="K240" s="49"/>
      <c r="L240" s="49"/>
      <c r="M240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1.1 Case</vt:lpstr>
      <vt:lpstr>Data 1.1 Case (remove formula)</vt:lpstr>
      <vt:lpstr>Data 1.1 Symptoms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Muhammmad Dedad Fajar</dc:creator>
  <cp:lastModifiedBy>Muhammmad Dedad Fajar</cp:lastModifiedBy>
  <dcterms:created xsi:type="dcterms:W3CDTF">2015-06-05T18:17:20Z</dcterms:created>
  <dcterms:modified xsi:type="dcterms:W3CDTF">2026-08-04T14:00:24Z</dcterms:modified>
  <cp:contentStatus/>
</cp:coreProperties>
</file>