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Penelitian\CBR Research\Dataset\"/>
    </mc:Choice>
  </mc:AlternateContent>
  <xr:revisionPtr revIDLastSave="0" documentId="13_ncr:1_{DC02B63E-AA79-4955-891A-0A9DDBE44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1.1 Case (remove formula)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4" l="1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G2" i="4"/>
  <c r="F2" i="4"/>
  <c r="E2" i="4"/>
</calcChain>
</file>

<file path=xl/sharedStrings.xml><?xml version="1.0" encoding="utf-8"?>
<sst xmlns="http://schemas.openxmlformats.org/spreadsheetml/2006/main" count="82" uniqueCount="47">
  <si>
    <t>no</t>
  </si>
  <si>
    <t>icd_x</t>
  </si>
  <si>
    <t>case_id</t>
  </si>
  <si>
    <t>no_raw</t>
  </si>
  <si>
    <t>raw_semicolon</t>
  </si>
  <si>
    <t>normalized_semicolon</t>
  </si>
  <si>
    <t>G44.0</t>
  </si>
  <si>
    <t>case_codes</t>
  </si>
  <si>
    <t>38</t>
  </si>
  <si>
    <t>G44.2</t>
  </si>
  <si>
    <t>33</t>
  </si>
  <si>
    <t>32</t>
  </si>
  <si>
    <t>31</t>
  </si>
  <si>
    <t>30</t>
  </si>
  <si>
    <t>29</t>
  </si>
  <si>
    <t>27</t>
  </si>
  <si>
    <t>26</t>
  </si>
  <si>
    <t>25</t>
  </si>
  <si>
    <t>24</t>
  </si>
  <si>
    <t>23</t>
  </si>
  <si>
    <t>22</t>
  </si>
  <si>
    <t>21</t>
  </si>
  <si>
    <t>20</t>
  </si>
  <si>
    <t>47</t>
  </si>
  <si>
    <t>18</t>
  </si>
  <si>
    <t>45</t>
  </si>
  <si>
    <t>17</t>
  </si>
  <si>
    <t>44</t>
  </si>
  <si>
    <t>15</t>
  </si>
  <si>
    <t>43</t>
  </si>
  <si>
    <t>12</t>
  </si>
  <si>
    <t>11</t>
  </si>
  <si>
    <t>10</t>
  </si>
  <si>
    <t>7</t>
  </si>
  <si>
    <t>6</t>
  </si>
  <si>
    <t>4</t>
  </si>
  <si>
    <t>3</t>
  </si>
  <si>
    <t>2</t>
  </si>
  <si>
    <t>1</t>
  </si>
  <si>
    <t>16</t>
  </si>
  <si>
    <t>52</t>
  </si>
  <si>
    <t>53</t>
  </si>
  <si>
    <t>57</t>
  </si>
  <si>
    <t>39</t>
  </si>
  <si>
    <t>40</t>
  </si>
  <si>
    <t>49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</si>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</sst>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5BFADD42-6171-4F7C-A932-2378194F0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1722-7B3C-4E16-ADFB-CA3A66898CB8}">
  <dimension ref="A1:G26"/>
  <sheetViews>
    <sheetView tabSelected="1" topLeftCell="A3" zoomScale="85" zoomScaleNormal="85" workbookViewId="0">
      <selection activeCell="H8" sqref="H8"/>
    </sheetView>
  </sheetViews>
  <sheetFormatPr defaultColWidth="9.109375" defaultRowHeight="13.2" x14ac:dyDescent="0.3"/>
  <cols>
    <col min="1" max="1" width="5.5546875" style="1" customWidth="1"/>
    <col min="2" max="2" width="7.6640625" style="1" customWidth="1"/>
    <col min="3" max="3" width="9" style="1" customWidth="1"/>
    <col min="4" max="4" width="9.109375" style="1"/>
    <col min="5" max="5" width="35.6640625" style="2" customWidth="1"/>
    <col min="6" max="6" width="41" style="2" customWidth="1"/>
    <col min="7" max="7" width="33" style="1" customWidth="1"/>
    <col min="8" max="16384" width="9.109375" style="2"/>
  </cols>
  <sheetData>
    <row r="1" spans="1:7" x14ac:dyDescent="0.3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5</v>
      </c>
      <c r="G1" s="3" t="s">
        <v>7</v>
      </c>
    </row>
    <row r="2" spans="1:7" ht="26.4" x14ac:dyDescent="0.3">
      <c r="A2" s="4">
        <v>1</v>
      </c>
      <c r="B2" s="5" t="s">
        <v>34</v>
      </c>
      <c r="C2" s="6" t="s">
        <v>31</v>
      </c>
      <c r="D2" s="5" t="s">
        <v>6</v>
      </c>
      <c r="E2" s="9" t="str">
        <f ca="1">IFERROR(__xludf.DUMMYFUNCTION("VLOOKUP($B7,FILTER('Kode Gejala + G44.0'!$B$2:$K$172, 'Kode Gejala + G44.0'!$K$2:$K$172&lt;&gt;""""),10,FALSE)"),"KOnsultasi rujukan;hidung masih mampet;pusing(+);sesak(+)")</f>
        <v>KOnsultasi rujukan;hidung masih mampet;pusing(+);sesak(+)</v>
      </c>
      <c r="F2" s="9" t="str">
        <f ca="1">IFERROR(__xludf.DUMMYFUNCTION("VLOOKUP($B7,FILTER('Kode Gejala + G44.0'!$B$2:$L$172, 'Kode Gejala + G44.0'!$L$2:$L$172&lt;&gt;""""),11,FALSE)"),"konsultasi rujukan;hidung masih mampet;pusing;sesak")</f>
        <v>konsultasi rujukan;hidung masih mampet;pusing;sesak</v>
      </c>
      <c r="G2" s="7" t="str">
        <f ca="1">IFERROR(__xludf.DUMMYFUNCTION("VLOOKUP($B7,FILTER('Kode Gejala + G44.0'!$B$2:$M$172, 'Kode Gejala + G44.0'!$M$2:$M$172&lt;&gt;""""),12,FALSE)"),"T,G611,G0,O")</f>
        <v>T,G611,G0,O</v>
      </c>
    </row>
    <row r="3" spans="1:7" ht="26.4" x14ac:dyDescent="0.3">
      <c r="A3" s="4">
        <v>2</v>
      </c>
      <c r="B3" s="5" t="s">
        <v>33</v>
      </c>
      <c r="C3" s="6" t="s">
        <v>30</v>
      </c>
      <c r="D3" s="8" t="s">
        <v>6</v>
      </c>
      <c r="E3" s="9" t="str">
        <f ca="1">IFERROR(__xludf.DUMMYFUNCTION("VLOOKUP($B8,FILTER('Kode Gejala + G44.0'!$B$2:$K$172, 'Kode Gejala + G44.0'!$K$2:$K$172&lt;&gt;""""),10,FALSE)"),"Pusing berputar(+);mual(+);muntah saat pusing;sejak lebaran kemaren")</f>
        <v>Pusing berputar(+);mual(+);muntah saat pusing;sejak lebaran kemaren</v>
      </c>
      <c r="F3" s="9" t="str">
        <f ca="1">IFERROR(__xludf.DUMMYFUNCTION("VLOOKUP($B8,FILTER('Kode Gejala + G44.0'!$B$2:$L$172, 'Kode Gejala + G44.0'!$L$2:$L$172&lt;&gt;""""),11,FALSE)"),"Pusing berputar;mual;muntah saat pusing;sejak lebaran kemarin")</f>
        <v>Pusing berputar;mual;muntah saat pusing;sejak lebaran kemarin</v>
      </c>
      <c r="G3" s="7" t="str">
        <f ca="1">IFERROR(__xludf.DUMMYFUNCTION("VLOOKUP($B8,FILTER('Kode Gejala + G44.0'!$B$2:$M$172, 'Kode Gejala + G44.0'!$M$2:$M$172&lt;&gt;""""),12,FALSE)"),"O,G61,G62,T")</f>
        <v>O,G61,G62,T</v>
      </c>
    </row>
    <row r="4" spans="1:7" ht="39.6" x14ac:dyDescent="0.3">
      <c r="A4" s="4">
        <v>3</v>
      </c>
      <c r="B4" s="5" t="s">
        <v>32</v>
      </c>
      <c r="C4" s="6" t="s">
        <v>39</v>
      </c>
      <c r="D4" s="8" t="s">
        <v>6</v>
      </c>
      <c r="E4" s="9" t="str">
        <f ca="1">IFERROR(__xludf.DUMMYFUNCTION("VLOOKUP($B11,FILTER('Kode Gejala + G44.0'!$B$2:$K$172, 'Kode Gejala + G44.0'!$K$2:$K$172&lt;&gt;""""),10,FALSE)"),"Nyeri kepala(+);badan meriang(+);mual(+);sejak 2 hr;alergi obat(-)")</f>
        <v>Nyeri kepala(+);badan meriang(+);mual(+);sejak 2 hr;alergi obat(-)</v>
      </c>
      <c r="F4" s="9" t="str">
        <f ca="1">IFERROR(__xludf.DUMMYFUNCTION("VLOOKUP($B11,FILTER('Kode Gejala + G44.0'!$B$2:$L$172, 'Kode Gejala + G44.0'!$L$2:$L$172&lt;&gt;""""),11,FALSE)"),"nyeri kepala;badan meriang;mual;sejak 2 hari;alergi obat nihil")</f>
        <v>nyeri kepala;badan meriang;mual;sejak 2 hari;alergi obat nihil</v>
      </c>
      <c r="G4" s="7" t="str">
        <f ca="1">IFERROR(__xludf.DUMMYFUNCTION("VLOOKUP($B11,FILTER('Kode Gejala + G44.0'!$B$2:$M$172, 'Kode Gejala + G44.0'!$M$2:$M$172&lt;&gt;""""),12,FALSE)"),"G0,O,G61,G52,T")</f>
        <v>G0,O,G61,G52,T</v>
      </c>
    </row>
    <row r="5" spans="1:7" ht="26.4" x14ac:dyDescent="0.3">
      <c r="A5" s="4">
        <v>4</v>
      </c>
      <c r="B5" s="10" t="s">
        <v>30</v>
      </c>
      <c r="C5" s="11" t="s">
        <v>24</v>
      </c>
      <c r="D5" s="12" t="s">
        <v>6</v>
      </c>
      <c r="E5" s="13" t="str">
        <f ca="1">IFERROR(__xludf.DUMMYFUNCTION("VLOOKUP($B13,FILTER('Kode Gejala + G44.0'!$B$2:$K$172, 'Kode Gejala + G44.0'!$K$2:$K$172&lt;&gt;""""),10,FALSE)"),"pusing sebelah kiri;sejak kemaren;tengkuk bahu terasa kaku")</f>
        <v>pusing sebelah kiri;sejak kemaren;tengkuk bahu terasa kaku</v>
      </c>
      <c r="F5" s="13" t="str">
        <f ca="1">IFERROR(__xludf.DUMMYFUNCTION("VLOOKUP($B13,FILTER('Kode Gejala + G44.0'!$B$2:$L$172, 'Kode Gejala + G44.0'!$L$2:$L$172&lt;&gt;""""),11,FALSE)"),"pusing sebelah kiri;sejak kemarin;tengkuk bahu terasa kaku")</f>
        <v>pusing sebelah kiri;sejak kemarin;tengkuk bahu terasa kaku</v>
      </c>
      <c r="G5" s="14" t="str">
        <f ca="1">IFERROR(__xludf.DUMMYFUNCTION("VLOOKUP($B13,FILTER('Kode Gejala + G44.0'!$B$2:$M$172, 'Kode Gejala + G44.0'!$M$2:$M$172&lt;&gt;""""),12,FALSE)"),"G23,G52,G614")</f>
        <v>G23,G52,G614</v>
      </c>
    </row>
    <row r="6" spans="1:7" ht="26.4" x14ac:dyDescent="0.3">
      <c r="A6" s="4">
        <v>5</v>
      </c>
      <c r="B6" s="5" t="s">
        <v>28</v>
      </c>
      <c r="C6" s="6" t="s">
        <v>21</v>
      </c>
      <c r="D6" s="8" t="s">
        <v>6</v>
      </c>
      <c r="E6" s="9" t="str">
        <f ca="1">IFERROR(__xludf.DUMMYFUNCTION("VLOOKUP($B16,FILTER('Kode Gejala + G44.0'!$B$2:$K$172, 'Kode Gejala + G44.0'!$K$2:$K$172&lt;&gt;""""),10,FALSE)"),"Pusing(+);terasa tdk nyaman di badan;tengkiuk terasa kaku")</f>
        <v>Pusing(+);terasa tdk nyaman di badan;tengkiuk terasa kaku</v>
      </c>
      <c r="F6" s="9" t="str">
        <f ca="1">IFERROR(__xludf.DUMMYFUNCTION("VLOOKUP($B16,FILTER('Kode Gejala + G44.0'!$B$2:$L$172, 'Kode Gejala + G44.0'!$L$2:$L$172&lt;&gt;""""),11,FALSE)"),"Pusing;terasa tidak nyaman di badan;tengkuk terasa kaku")</f>
        <v>Pusing;terasa tidak nyaman di badan;tengkuk terasa kaku</v>
      </c>
      <c r="G6" s="7" t="str">
        <f ca="1">IFERROR(__xludf.DUMMYFUNCTION("VLOOKUP($B16,FILTER('Kode Gejala + G44.0'!$B$2:$M$172, 'Kode Gejala + G44.0'!$M$2:$M$172&lt;&gt;""""),12,FALSE)"),"G0,O,G614")</f>
        <v>G0,O,G614</v>
      </c>
    </row>
    <row r="7" spans="1:7" ht="79.2" x14ac:dyDescent="0.3">
      <c r="A7" s="4">
        <v>6</v>
      </c>
      <c r="B7" s="5" t="s">
        <v>39</v>
      </c>
      <c r="C7" s="6" t="s">
        <v>20</v>
      </c>
      <c r="D7" s="8" t="s">
        <v>6</v>
      </c>
      <c r="E7" s="9" t="str">
        <f ca="1">IFERROR(__xludf.DUMMYFUNCTION("VLOOKUP($B17,FILTER('Kode Gejala + G44.0'!$B$2:$K$172, 'Kode Gejala + G44.0'!$K$2:$K$172&lt;&gt;""""),10,FALSE)"),"Tengkuk terasa kaku , tegang;resume dr RS Srdjito diangnosa Migrainosisi;IGD 2x;20,8;elicaf 2dd1;anatak 2dd1;mecobilamid 2dd 500 mg;Dx migrain;reflek patologi (-);IGD 30 sept 2019")</f>
        <v>Tengkuk terasa kaku , tegang;resume dr RS Srdjito diangnosa Migrainosisi;IGD 2x;20,8;elicaf 2dd1;anatak 2dd1;mecobilamid 2dd 500 mg;Dx migrain;reflek patologi (-);IGD 30 sept 2019</v>
      </c>
      <c r="F7" s="9" t="str">
        <f ca="1">IFERROR(__xludf.DUMMYFUNCTION("VLOOKUP($B17,FILTER('Kode Gejala + G44.0'!$B$2:$L$172, 'Kode Gejala + G44.0'!$L$2:$L$172&lt;&gt;""""),11,FALSE)"),"tengkuk terasa kaku, tegang;resume dari RS Sardjito diangnosa Migrainosisi;IGD 2 kali;20.8;elicaf 2dd1;anatak 2dd1;mecobilamid 2dd 500 mg;dx migrain;reflek patologi nihil;IGD 30 september 2019")</f>
        <v>tengkuk terasa kaku, tegang;resume dari RS Sardjito diangnosa Migrainosisi;IGD 2 kali;20.8;elicaf 2dd1;anatak 2dd1;mecobilamid 2dd 500 mg;dx migrain;reflek patologi nihil;IGD 30 september 2019</v>
      </c>
      <c r="G7" s="7" t="str">
        <f ca="1">IFERROR(__xludf.DUMMYFUNCTION("VLOOKUP($B17,FILTER('Kode Gejala + G44.0'!$B$2:$M$172, 'Kode Gejala + G44.0'!$M$2:$M$172&lt;&gt;""""),12,FALSE)"),"G614,G11,G43,O,G11,G11,G11,G23,O,G43")</f>
        <v>G614,G11,G43,O,G11,G11,G11,G23,O,G43</v>
      </c>
    </row>
    <row r="8" spans="1:7" ht="52.8" x14ac:dyDescent="0.3">
      <c r="A8" s="4">
        <v>7</v>
      </c>
      <c r="B8" s="5" t="s">
        <v>26</v>
      </c>
      <c r="C8" s="6" t="s">
        <v>19</v>
      </c>
      <c r="D8" s="5" t="s">
        <v>6</v>
      </c>
      <c r="E8" s="9" t="str">
        <f ca="1">IFERROR(__xludf.DUMMYFUNCTION("VLOOKUP($B18,FILTER('Kode Gejala + G44.0'!$B$2:$K$172, 'Kode Gejala + G44.0'!$K$2:$K$172&lt;&gt;""""),10,FALSE)"),"pusing di daerah dahi sekitar mata;dan pusing dimkepala bagian belakang kanan;+-7hari;riwayat visus -0,75 dan -0,25;mual +;sensitive cahaya;alergi obat -")</f>
        <v>pusing di daerah dahi sekitar mata;dan pusing dimkepala bagian belakang kanan;+-7hari;riwayat visus -0,75 dan -0,25;mual +;sensitive cahaya;alergi obat -</v>
      </c>
      <c r="F8" s="9" t="str">
        <f ca="1">IFERROR(__xludf.DUMMYFUNCTION("VLOOKUP($B18,FILTER('Kode Gejala + G44.0'!$B$2:$L$172, 'Kode Gejala + G44.0'!$L$2:$L$172&lt;&gt;""""),11,FALSE)"),"pusing di daerah dahi sekitar mata;dan pusing di kepala bagian belakang kanan;kurang lebih 7 hari;riwayat visus minus 0.75 dan minus 0.25;mual;sensitif cahaya;alergi obat nihil")</f>
        <v>pusing di daerah dahi sekitar mata;dan pusing di kepala bagian belakang kanan;kurang lebih 7 hari;riwayat visus minus 0.75 dan minus 0.25;mual;sensitif cahaya;alergi obat nihil</v>
      </c>
      <c r="G8" s="7" t="str">
        <f ca="1">IFERROR(__xludf.DUMMYFUNCTION("VLOOKUP($B18,FILTER('Kode Gejala + G44.0'!$B$2:$M$172, 'Kode Gejala + G44.0'!$M$2:$M$172&lt;&gt;""""),12,FALSE)"),"G24,G23,G31,O,G61,G64,T")</f>
        <v>G24,G23,G31,O,G61,G64,T</v>
      </c>
    </row>
    <row r="9" spans="1:7" ht="66" x14ac:dyDescent="0.3">
      <c r="A9" s="4">
        <v>8</v>
      </c>
      <c r="B9" s="5" t="s">
        <v>21</v>
      </c>
      <c r="C9" s="6" t="s">
        <v>15</v>
      </c>
      <c r="D9" s="8" t="s">
        <v>6</v>
      </c>
      <c r="E9" s="9" t="str">
        <f ca="1">IFERROR(__xludf.DUMMYFUNCTION("VLOOKUP($B22,FILTER('Kode Gejala + G44.0'!$B$2:$K$172, 'Kode Gejala + G44.0'!$K$2:$K$172&lt;&gt;""""),10,FALSE)"),"nyeri kepala berdenyut(+);2 bln;bengkak telinga kanan di sertai nyeri (+);sdh periksa Rs Hidayatullah di beri obat;blm sembuh;pilek (+);batuk (+);telinga kanan bengkak;nyeri (+);alergi obat (-)")</f>
        <v>nyeri kepala berdenyut(+);2 bln;bengkak telinga kanan di sertai nyeri (+);sdh periksa Rs Hidayatullah di beri obat;blm sembuh;pilek (+);batuk (+);telinga kanan bengkak;nyeri (+);alergi obat (-)</v>
      </c>
      <c r="F9" s="9" t="str">
        <f ca="1">IFERROR(__xludf.DUMMYFUNCTION("VLOOKUP($B22,FILTER('Kode Gejala + G44.0'!$B$2:$L$172, 'Kode Gejala + G44.0'!$L$2:$L$172&lt;&gt;""""),11,FALSE)"),"nyeri kepala berdenyut;2 bulan;bengkak telinga kanan disertai nyeri;sudah periksa RS hidayatullah diberi obat;belum sembuh;pilek;batuk;telinga kanan bengkak;nyeri;alergi obat nihil")</f>
        <v>nyeri kepala berdenyut;2 bulan;bengkak telinga kanan disertai nyeri;sudah periksa RS hidayatullah diberi obat;belum sembuh;pilek;batuk;telinga kanan bengkak;nyeri;alergi obat nihil</v>
      </c>
      <c r="G9" s="7" t="str">
        <f ca="1">IFERROR(__xludf.DUMMYFUNCTION("VLOOKUP($B22,FILTER('Kode Gejala + G44.0'!$B$2:$M$172, 'Kode Gejala + G44.0'!$M$2:$M$172&lt;&gt;""""),12,FALSE)"),"G11,G32,O,T,T,G612,O,O,O,T")</f>
        <v>G11,G32,O,T,T,G612,O,O,O,T</v>
      </c>
    </row>
    <row r="10" spans="1:7" ht="52.8" x14ac:dyDescent="0.3">
      <c r="A10" s="4">
        <v>9</v>
      </c>
      <c r="B10" s="5" t="s">
        <v>19</v>
      </c>
      <c r="C10" s="6" t="s">
        <v>14</v>
      </c>
      <c r="D10" s="8" t="s">
        <v>6</v>
      </c>
      <c r="E10" s="9" t="str">
        <f ca="1">IFERROR(__xludf.DUMMYFUNCTION("VLOOKUP($B24,FILTER('Kode Gejala + G44.0'!$B$2:$K$172, 'Kode Gejala + G44.0'!$K$2:$K$172&lt;&gt;""""),10,FALSE)"),"Mata kiri terasa nyeri(+);kemerahan (-);Penglihatan normal(+);3 hari pusing;mkn perih(-);gatal (-);kotoran mata (-)")</f>
        <v>Mata kiri terasa nyeri(+);kemerahan (-);Penglihatan normal(+);3 hari pusing;mkn perih(-);gatal (-);kotoran mata (-)</v>
      </c>
      <c r="F10" s="9" t="str">
        <f ca="1">IFERROR(__xludf.DUMMYFUNCTION("VLOOKUP($B24,FILTER('Kode Gejala + G44.0'!$B$2:$L$172, 'Kode Gejala + G44.0'!$L$2:$L$172&lt;&gt;""""),11,FALSE)"),"Mata kiri terasa nyeri;kemerahan nihil;penglihatan normal;3 hari pusing;makan perih nihil;gatal nihil;kotoran mata nihil")</f>
        <v>Mata kiri terasa nyeri;kemerahan nihil;penglihatan normal;3 hari pusing;makan perih nihil;gatal nihil;kotoran mata nihil</v>
      </c>
      <c r="G10" s="7" t="str">
        <f ca="1">IFERROR(__xludf.DUMMYFUNCTION("VLOOKUP($B24,FILTER('Kode Gejala + G44.0'!$B$2:$M$172, 'Kode Gejala + G44.0'!$M$2:$M$172&lt;&gt;""""),12,FALSE)"),"G24,O,XG64,G0,O,O,O")</f>
        <v>G24,O,XG64,G0,O,O,O</v>
      </c>
    </row>
    <row r="11" spans="1:7" x14ac:dyDescent="0.3">
      <c r="A11" s="4">
        <v>10</v>
      </c>
      <c r="B11" s="5" t="s">
        <v>13</v>
      </c>
      <c r="C11" s="5" t="s">
        <v>38</v>
      </c>
      <c r="D11" s="8" t="s">
        <v>9</v>
      </c>
      <c r="E11" s="9" t="str">
        <f ca="1">IFERROR(__xludf.DUMMYFUNCTION("VLOOKUP($B31,FILTER('Kode Gejala + G44.2'!$B$2:$K$229, 'Kode Gejala + G44.2'!$K$2:$K$229&lt;&gt;""""),10,FALSE)"),"tengku terasa kenceng2;pusing")</f>
        <v>tengku terasa kenceng2;pusing</v>
      </c>
      <c r="F11" s="15" t="str">
        <f ca="1">IFERROR(__xludf.DUMMYFUNCTION("VLOOKUP($B31,FILTER('Kode Gejala + G44.2'!$B$2:$L$229, 'Kode Gejala + G44.2'!$L$2:$L$229&lt;&gt;""""),11,FALSE)"),"tengkuk terasa kenceng kenceng;pusing")</f>
        <v>tengkuk terasa kenceng kenceng;pusing</v>
      </c>
      <c r="G11" s="7" t="str">
        <f ca="1">IFERROR(__xludf.DUMMYFUNCTION("VLOOKUP($B31,FILTER('Kode Gejala + G44.2'!$B$2:$M$229, 'Kode Gejala + G44.2'!$M$2:$M$229&lt;&gt;""""),12,FALSE)"),"G614,G0")</f>
        <v>G614,G0</v>
      </c>
    </row>
    <row r="12" spans="1:7" ht="26.4" x14ac:dyDescent="0.3">
      <c r="A12" s="4">
        <v>11</v>
      </c>
      <c r="B12" s="5" t="s">
        <v>12</v>
      </c>
      <c r="C12" s="5" t="s">
        <v>37</v>
      </c>
      <c r="D12" s="5" t="s">
        <v>9</v>
      </c>
      <c r="E12" s="9" t="str">
        <f ca="1">IFERROR(__xludf.DUMMYFUNCTION("VLOOKUP($B32,FILTER('Kode Gejala + G44.2'!$B$2:$K$229, 'Kode Gejala + G44.2'!$K$2:$K$229&lt;&gt;""""),10,FALSE)"),"pusing;jantung berdebar;kadang ulu hati nyeri jika terlambat makan")</f>
        <v>pusing;jantung berdebar;kadang ulu hati nyeri jika terlambat makan</v>
      </c>
      <c r="F12" s="15" t="str">
        <f ca="1">IFERROR(__xludf.DUMMYFUNCTION("VLOOKUP($B32,FILTER('Kode Gejala + G44.2'!$B$2:$L$229, 'Kode Gejala + G44.2'!$L$2:$L$229&lt;&gt;""""),11,FALSE)"),"pusing;jantung berdebar;kadang ulu hati nyeri jika terlambat makan")</f>
        <v>pusing;jantung berdebar;kadang ulu hati nyeri jika terlambat makan</v>
      </c>
      <c r="G12" s="7" t="str">
        <f ca="1">IFERROR(__xludf.DUMMYFUNCTION("VLOOKUP($B32,FILTER('Kode Gejala + G44.2'!$B$2:$M$229, 'Kode Gejala + G44.2'!$M$2:$M$229&lt;&gt;""""),12,FALSE)"),"G0,O,G93")</f>
        <v>G0,O,G93</v>
      </c>
    </row>
    <row r="13" spans="1:7" x14ac:dyDescent="0.3">
      <c r="A13" s="4">
        <v>12</v>
      </c>
      <c r="B13" s="5" t="s">
        <v>11</v>
      </c>
      <c r="C13" s="5" t="s">
        <v>36</v>
      </c>
      <c r="D13" s="8" t="s">
        <v>9</v>
      </c>
      <c r="E13" s="9" t="str">
        <f ca="1">IFERROR(__xludf.DUMMYFUNCTION("VLOOKUP($B33,FILTER('Kode Gejala + G44.2'!$B$2:$K$229, 'Kode Gejala + G44.2'!$K$2:$K$229&lt;&gt;""""),10,FALSE)"),"Pusing(+);mual(-);muntah")</f>
        <v>Pusing(+);mual(-);muntah</v>
      </c>
      <c r="F13" s="15" t="str">
        <f ca="1">IFERROR(__xludf.DUMMYFUNCTION("VLOOKUP($B33,FILTER('Kode Gejala + G44.2'!$B$2:$L$229, 'Kode Gejala + G44.2'!$L$2:$L$229&lt;&gt;""""),11,FALSE)"),"Pusing;mual nihil;muntah")</f>
        <v>Pusing;mual nihil;muntah</v>
      </c>
      <c r="G13" s="7" t="str">
        <f ca="1">IFERROR(__xludf.DUMMYFUNCTION("VLOOKUP($B33,FILTER('Kode Gejala + G44.2'!$B$2:$M$229, 'Kode Gejala + G44.2'!$M$2:$M$229&lt;&gt;""""),12,FALSE)"),"G0,XG61,G62")</f>
        <v>G0,XG61,G62</v>
      </c>
    </row>
    <row r="14" spans="1:7" x14ac:dyDescent="0.3">
      <c r="A14" s="4">
        <v>13</v>
      </c>
      <c r="B14" s="5" t="s">
        <v>10</v>
      </c>
      <c r="C14" s="5" t="s">
        <v>35</v>
      </c>
      <c r="D14" s="5" t="s">
        <v>9</v>
      </c>
      <c r="E14" s="9" t="str">
        <f ca="1">IFERROR(__xludf.DUMMYFUNCTION("VLOOKUP($B34,FILTER('Kode Gejala + G44.2'!$B$2:$K$229, 'Kode Gejala + G44.2'!$K$2:$K$229&lt;&gt;""""),10,FALSE)"),"Pusing;pilek;batuk")</f>
        <v>Pusing;pilek;batuk</v>
      </c>
      <c r="F14" s="15" t="str">
        <f ca="1">IFERROR(__xludf.DUMMYFUNCTION("VLOOKUP($B34,FILTER('Kode Gejala + G44.2'!$B$2:$L$229, 'Kode Gejala + G44.2'!$L$2:$L$229&lt;&gt;""""),11,FALSE)"),"Pusing;pilek;batuk")</f>
        <v>Pusing;pilek;batuk</v>
      </c>
      <c r="G14" s="7" t="str">
        <f ca="1">IFERROR(__xludf.DUMMYFUNCTION("VLOOKUP($B34,FILTER('Kode Gejala + G44.2'!$B$2:$M$229, 'Kode Gejala + G44.2'!$M$2:$M$229&lt;&gt;""""),12,FALSE)"),"G0,G612,O")</f>
        <v>G0,G612,O</v>
      </c>
    </row>
    <row r="15" spans="1:7" ht="39.6" x14ac:dyDescent="0.3">
      <c r="A15" s="4">
        <v>14</v>
      </c>
      <c r="B15" s="5" t="s">
        <v>8</v>
      </c>
      <c r="C15" s="5" t="s">
        <v>32</v>
      </c>
      <c r="D15" s="8" t="s">
        <v>9</v>
      </c>
      <c r="E15" s="9" t="str">
        <f ca="1">IFERROR(__xludf.DUMMYFUNCTION("VLOOKUP($B39,FILTER('Kode Gejala + G44.2'!$B$2:$K$229, 'Kode Gejala + G44.2'!$K$2:$K$229&lt;&gt;""""),10,FALSE)"),"Kepala terasa pusing (+);Leher terasa kaku (+);Mual Muntah (-);+-1hari riwayat magh (-)")</f>
        <v>Kepala terasa pusing (+);Leher terasa kaku (+);Mual Muntah (-);+-1hari riwayat magh (-)</v>
      </c>
      <c r="F15" s="15" t="str">
        <f ca="1">IFERROR(__xludf.DUMMYFUNCTION("VLOOKUP($B39,FILTER('Kode Gejala + G44.2'!$B$2:$L$229, 'Kode Gejala + G44.2'!$L$2:$L$229&lt;&gt;""""),11,FALSE)"),"kepala terasa pusing;leher terasa kaku;Mual Muntah nihil;kurang lebih 1 hari riwayat magh nihil")</f>
        <v>kepala terasa pusing;leher terasa kaku;Mual Muntah nihil;kurang lebih 1 hari riwayat magh nihil</v>
      </c>
      <c r="G15" s="7" t="str">
        <f ca="1">IFERROR(__xludf.DUMMYFUNCTION("VLOOKUP($B39,FILTER('Kode Gejala + G44.2'!$B$2:$M$229, 'Kode Gejala + G44.2'!$M$2:$M$229&lt;&gt;""""),12,FALSE)"),"G0,G614,XG61,O")</f>
        <v>G0,G614,XG61,O</v>
      </c>
    </row>
    <row r="16" spans="1:7" ht="66" x14ac:dyDescent="0.3">
      <c r="A16" s="4">
        <v>15</v>
      </c>
      <c r="B16" s="5" t="s">
        <v>43</v>
      </c>
      <c r="C16" s="5" t="s">
        <v>31</v>
      </c>
      <c r="D16" s="5" t="s">
        <v>9</v>
      </c>
      <c r="E16" s="9" t="str">
        <f ca="1">IFERROR(__xludf.DUMMYFUNCTION("VLOOKUP($B40,FILTER('Kode Gejala + G44.2'!$B$2:$K$229, 'Kode Gejala + G44.2'!$K$2:$K$229&lt;&gt;""""),10,FALSE)"),"Kepala terasa sakit (+);pusing (+);berputar (-);badan terasa lemes (+);demam(-);batuk (-);pilek(-);sesak 3 hr;tengkuk cengeng(-);cekot2 (+);mual(-);muntah(-);Rw magh (-)")</f>
        <v>Kepala terasa sakit (+);pusing (+);berputar (-);badan terasa lemes (+);demam(-);batuk (-);pilek(-);sesak 3 hr;tengkuk cengeng(-);cekot2 (+);mual(-);muntah(-);Rw magh (-)</v>
      </c>
      <c r="F16" s="15" t="str">
        <f ca="1">IFERROR(__xludf.DUMMYFUNCTION("VLOOKUP($B40,FILTER('Kode Gejala + G44.2'!$B$2:$L$229, 'Kode Gejala + G44.2'!$L$2:$L$229&lt;&gt;""""),11,FALSE)"),"Kepala terasa sakit;pusing;berputar nihil;badan terasa lemes;demam nihil;batuk nihil;pilek nihil;sesak 3 hari;tengkuk cengeng nihil;cekot cekot;mual nihil;muntah nihil;riwayat magh nihil")</f>
        <v>Kepala terasa sakit;pusing;berputar nihil;badan terasa lemes;demam nihil;batuk nihil;pilek nihil;sesak 3 hari;tengkuk cengeng nihil;cekot cekot;mual nihil;muntah nihil;riwayat magh nihil</v>
      </c>
      <c r="G16" s="7" t="str">
        <f ca="1">IFERROR(__xludf.DUMMYFUNCTION("VLOOKUP($B40,FILTER('Kode Gejala + G44.2'!$B$2:$M$229, 'Kode Gejala + G44.2'!$M$2:$M$229&lt;&gt;""""),12,FALSE)"),"G0,G0,O,O,O,O,XG612,O,XG614,G11,XG61,XG62,O")</f>
        <v>G0,G0,O,O,O,O,XG612,O,XG614,G11,XG61,XG62,O</v>
      </c>
    </row>
    <row r="17" spans="1:7" ht="66" x14ac:dyDescent="0.3">
      <c r="A17" s="4">
        <v>16</v>
      </c>
      <c r="B17" s="5" t="s">
        <v>44</v>
      </c>
      <c r="C17" s="5" t="s">
        <v>30</v>
      </c>
      <c r="D17" s="8" t="s">
        <v>9</v>
      </c>
      <c r="E17" s="9" t="str">
        <f ca="1">IFERROR(__xludf.DUMMYFUNCTION("VLOOKUP($B41,FILTER('Kode Gejala + G44.2'!$B$2:$K$229, 'Kode Gejala + G44.2'!$K$2:$K$229&lt;&gt;""""),10,FALSE)"),"Nyeri kepala (+) berputar;Mual (+);Muntah (-);Nyeri lambung (+);Diare (-);Batuk (-);Dada terasa sesak (+);panas perih;surat ket sakit (+);pahit kecut dilidah (+);Alergi analsix (+)")</f>
        <v>Nyeri kepala (+) berputar;Mual (+);Muntah (-);Nyeri lambung (+);Diare (-);Batuk (-);Dada terasa sesak (+);panas perih;surat ket sakit (+);pahit kecut dilidah (+);Alergi analsix (+)</v>
      </c>
      <c r="F17" s="15" t="str">
        <f ca="1">IFERROR(__xludf.DUMMYFUNCTION("VLOOKUP($B41,FILTER('Kode Gejala + G44.2'!$B$2:$L$229, 'Kode Gejala + G44.2'!$L$2:$L$229&lt;&gt;""""),11,FALSE)"),"Nyeri kepala berputar;Mual;Muntah nihil;nyeri lambung;diare nihil;Batuk nihil;dada terasa sesak;panas perih;surat keterangan sakit;pahit kecut di lidah;alergi analsix")</f>
        <v>Nyeri kepala berputar;Mual;Muntah nihil;nyeri lambung;diare nihil;Batuk nihil;dada terasa sesak;panas perih;surat keterangan sakit;pahit kecut di lidah;alergi analsix</v>
      </c>
      <c r="G17" s="7" t="str">
        <f ca="1">IFERROR(__xludf.DUMMYFUNCTION("VLOOKUP($B41,FILTER('Kode Gejala + G44.2'!$B$2:$M$229, 'Kode Gejala + G44.2'!$M$2:$M$229&lt;&gt;""""),12,FALSE)"),"O,G61,XG62,G93,O,O,O,G93,T,O,T")</f>
        <v>O,G61,XG62,G93,O,O,O,G93,T,O,T</v>
      </c>
    </row>
    <row r="18" spans="1:7" ht="26.4" x14ac:dyDescent="0.3">
      <c r="A18" s="4">
        <v>17</v>
      </c>
      <c r="B18" s="5" t="s">
        <v>29</v>
      </c>
      <c r="C18" s="5" t="s">
        <v>28</v>
      </c>
      <c r="D18" s="8" t="s">
        <v>9</v>
      </c>
      <c r="E18" s="9" t="str">
        <f ca="1">IFERROR(__xludf.DUMMYFUNCTION("VLOOKUP($B44,FILTER('Kode Gejala + G44.2'!$B$2:$K$229, 'Kode Gejala + G44.2'!$K$2:$K$229&lt;&gt;""""),10,FALSE)"),"Telinga berdering (+);Nyeri (-);Pusing (+) +-1minggu;Mual (+)")</f>
        <v>Telinga berdering (+);Nyeri (-);Pusing (+) +-1minggu;Mual (+)</v>
      </c>
      <c r="F18" s="15" t="str">
        <f ca="1">IFERROR(__xludf.DUMMYFUNCTION("VLOOKUP($B44,FILTER('Kode Gejala + G44.2'!$B$2:$L$229, 'Kode Gejala + G44.2'!$L$2:$L$229&lt;&gt;""""),11,FALSE)"),"Telinga berdering;Nyeri nihil;Pusing kurang lebih 1 minggu;mual")</f>
        <v>Telinga berdering;Nyeri nihil;Pusing kurang lebih 1 minggu;mual</v>
      </c>
      <c r="G18" s="7" t="str">
        <f ca="1">IFERROR(__xludf.DUMMYFUNCTION("VLOOKUP($B44,FILTER('Kode Gejala + G44.2'!$B$2:$M$229, 'Kode Gejala + G44.2'!$M$2:$M$229&lt;&gt;""""),12,FALSE)"),"O,O,G51,G61")</f>
        <v>O,O,G51,G61</v>
      </c>
    </row>
    <row r="19" spans="1:7" ht="66" x14ac:dyDescent="0.3">
      <c r="A19" s="4">
        <v>18</v>
      </c>
      <c r="B19" s="5" t="s">
        <v>27</v>
      </c>
      <c r="C19" s="5" t="s">
        <v>26</v>
      </c>
      <c r="D19" s="5" t="s">
        <v>9</v>
      </c>
      <c r="E19" s="9" t="str">
        <f ca="1">IFERROR(__xludf.DUMMYFUNCTION("VLOOKUP($B45,FILTER('Kode Gejala + G44.2'!$B$2:$K$229, 'Kode Gejala + G44.2'!$K$2:$K$229&lt;&gt;""""),10,FALSE)"),"nyeri kepala sebelah;+-1minggu;mual (-);batuk sedikit (+);cek asam urat, kolesterol, gula darah;perut perih (+);panas (+);dada kurang nyaman (+);mulut pahit (+)")</f>
        <v>nyeri kepala sebelah;+-1minggu;mual (-);batuk sedikit (+);cek asam urat, kolesterol, gula darah;perut perih (+);panas (+);dada kurang nyaman (+);mulut pahit (+)</v>
      </c>
      <c r="F19" s="15" t="str">
        <f ca="1">IFERROR(__xludf.DUMMYFUNCTION("VLOOKUP($B45,FILTER('Kode Gejala + G44.2'!$B$2:$L$229, 'Kode Gejala + G44.2'!$L$2:$L$229&lt;&gt;""""),11,FALSE)"),"nyeri kepala sebelah;kurang lebih 1 minggu;mual nihil;batuk sedikit;cek asam urat, kolesterol, gula darah;perut perih;panas;dada kurang nyaman;mulut pahit")</f>
        <v>nyeri kepala sebelah;kurang lebih 1 minggu;mual nihil;batuk sedikit;cek asam urat, kolesterol, gula darah;perut perih;panas;dada kurang nyaman;mulut pahit</v>
      </c>
      <c r="G19" s="7" t="str">
        <f ca="1">IFERROR(__xludf.DUMMYFUNCTION("VLOOKUP($B45,FILTER('Kode Gejala + G44.2'!$B$2:$M$229, 'Kode Gejala + G44.2'!$M$2:$M$229&lt;&gt;""""),12,FALSE)"),"G23,G51,XG61,O,T,O,O,O,O")</f>
        <v>G23,G51,XG61,O,T,O,O,O,O</v>
      </c>
    </row>
    <row r="20" spans="1:7" ht="66" x14ac:dyDescent="0.3">
      <c r="A20" s="4">
        <v>19</v>
      </c>
      <c r="B20" s="5" t="s">
        <v>25</v>
      </c>
      <c r="C20" s="5" t="s">
        <v>24</v>
      </c>
      <c r="D20" s="8" t="s">
        <v>9</v>
      </c>
      <c r="E20" s="9" t="str">
        <f ca="1">IFERROR(__xludf.DUMMYFUNCTION("VLOOKUP($B46,FILTER('Kode Gejala + G44.2'!$B$2:$K$229, 'Kode Gejala + G44.2'!$K$2:$K$229&lt;&gt;""""),10,FALSE)"),"sakit kepala (+);mual muntah (-);nyeri kepala saat sujud sholat (+);+-3hari;terasa berat (+);minum simvastatin;kesemutan di tangan kaki terutama bangun tidur (+)")</f>
        <v>sakit kepala (+);mual muntah (-);nyeri kepala saat sujud sholat (+);+-3hari;terasa berat (+);minum simvastatin;kesemutan di tangan kaki terutama bangun tidur (+)</v>
      </c>
      <c r="F20" s="15" t="str">
        <f ca="1">IFERROR(__xludf.DUMMYFUNCTION("VLOOKUP($B46,FILTER('Kode Gejala + G44.2'!$B$2:$L$229, 'Kode Gejala + G44.2'!$L$2:$L$229&lt;&gt;""""),11,FALSE)"),"sakit kepala;mual muntah nihil;nyeri kepala saat sujud sholat;kurang lebih 3 hari;terasa berat;minum simvastatin;kesemutan di tangan kaki terutama bangun tidur")</f>
        <v>sakit kepala;mual muntah nihil;nyeri kepala saat sujud sholat;kurang lebih 3 hari;terasa berat;minum simvastatin;kesemutan di tangan kaki terutama bangun tidur</v>
      </c>
      <c r="G20" s="7" t="str">
        <f ca="1">IFERROR(__xludf.DUMMYFUNCTION("VLOOKUP($B46,FILTER('Kode Gejala + G44.2'!$B$2:$M$229, 'Kode Gejala + G44.2'!$M$2:$M$229&lt;&gt;""""),12,FALSE)"),"G0,XG61,G71,G52,G43,T,O")</f>
        <v>G0,XG61,G71,G52,G43,T,O</v>
      </c>
    </row>
    <row r="21" spans="1:7" ht="52.8" x14ac:dyDescent="0.3">
      <c r="A21" s="4">
        <v>20</v>
      </c>
      <c r="B21" s="5" t="s">
        <v>23</v>
      </c>
      <c r="C21" s="5" t="s">
        <v>22</v>
      </c>
      <c r="D21" s="5" t="s">
        <v>9</v>
      </c>
      <c r="E21" s="9" t="str">
        <f ca="1">IFERROR(__xludf.DUMMYFUNCTION("VLOOKUP($B48,FILTER('Kode Gejala + G44.2'!$B$2:$K$229, 'Kode Gejala + G44.2'!$K$2:$K$229&lt;&gt;""""),10,FALSE)"),"kepala kadang sakit (+);kepala terasa berat (+);dan susah tidur (+);keluhan hilang timbul sejak 2 minggu ini;semalam minum mertigo")</f>
        <v>kepala kadang sakit (+);kepala terasa berat (+);dan susah tidur (+);keluhan hilang timbul sejak 2 minggu ini;semalam minum mertigo</v>
      </c>
      <c r="F21" s="15" t="str">
        <f ca="1">IFERROR(__xludf.DUMMYFUNCTION("VLOOKUP($B48,FILTER('Kode Gejala + G44.2'!$B$2:$L$229, 'Kode Gejala + G44.2'!$L$2:$L$229&lt;&gt;""""),11,FALSE)"),"kepala kadang sakit;kepala terasa berat;dan susah tidur;keluhan hilang timbul sejak 2 minggu ini;semalam minum mertigo")</f>
        <v>kepala kadang sakit;kepala terasa berat;dan susah tidur;keluhan hilang timbul sejak 2 minggu ini;semalam minum mertigo</v>
      </c>
      <c r="G21" s="7" t="str">
        <f ca="1">IFERROR(__xludf.DUMMYFUNCTION("VLOOKUP($B48,FILTER('Kode Gejala + G44.2'!$B$2:$M$229, 'Kode Gejala + G44.2'!$M$2:$M$229&lt;&gt;""""),12,FALSE)"),"G34,G13,G68,G31,T")</f>
        <v>G34,G13,G68,G31,T</v>
      </c>
    </row>
    <row r="22" spans="1:7" ht="39.6" x14ac:dyDescent="0.3">
      <c r="A22" s="4">
        <v>21</v>
      </c>
      <c r="B22" s="5" t="s">
        <v>45</v>
      </c>
      <c r="C22" s="5" t="s">
        <v>20</v>
      </c>
      <c r="D22" s="8" t="s">
        <v>9</v>
      </c>
      <c r="E22" s="9" t="str">
        <f ca="1">IFERROR(__xludf.DUMMYFUNCTION("VLOOKUP($B50,FILTER('Kode Gejala + G44.2'!$B$2:$K$229, 'Kode Gejala + G44.2'!$K$2:$K$229&lt;&gt;""""),10,FALSE)"),"pusing, (+);sakit kepala (+);menjalar sampai telinga (+);bahu -&gt; lengan terasa kaku (+);dari Sp.Jp diminta konsul Sp.S")</f>
        <v>pusing, (+);sakit kepala (+);menjalar sampai telinga (+);bahu -&gt; lengan terasa kaku (+);dari Sp.Jp diminta konsul Sp.S</v>
      </c>
      <c r="F22" s="15" t="str">
        <f ca="1">IFERROR(__xludf.DUMMYFUNCTION("VLOOKUP($B50,FILTER('Kode Gejala + G44.2'!$B$2:$L$229, 'Kode Gejala + G44.2'!$L$2:$L$229&lt;&gt;""""),11,FALSE)"),"pusing;sakit kepala;menjalar sampai telinga;bahu ke lengan terasa kaku;dari Sp.Jp diminta konsul Sp.S")</f>
        <v>pusing;sakit kepala;menjalar sampai telinga;bahu ke lengan terasa kaku;dari Sp.Jp diminta konsul Sp.S</v>
      </c>
      <c r="G22" s="7" t="str">
        <f ca="1">IFERROR(__xludf.DUMMYFUNCTION("VLOOKUP($B50,FILTER('Kode Gejala + G44.2'!$B$2:$M$229, 'Kode Gejala + G44.2'!$M$2:$M$229&lt;&gt;""""),12,FALSE)"),"G0,G0,G22,G614,T")</f>
        <v>G0,G0,G22,G614,T</v>
      </c>
    </row>
    <row r="23" spans="1:7" ht="39.6" x14ac:dyDescent="0.3">
      <c r="A23" s="4">
        <v>22</v>
      </c>
      <c r="B23" s="5" t="s">
        <v>46</v>
      </c>
      <c r="C23" s="5" t="s">
        <v>18</v>
      </c>
      <c r="D23" s="8" t="s">
        <v>9</v>
      </c>
      <c r="E23" s="9" t="str">
        <f ca="1">IFERROR(__xludf.DUMMYFUNCTION("VLOOKUP($B52,FILTER('Kode Gejala + G44.2'!$B$2:$K$229, 'Kode Gejala + G44.2'!$K$2:$K$229&lt;&gt;""""),10,FALSE)"),"Nyeri kepala;disertai tegang di pundak;Mual (+);Kembung;Nyeri lambung (+);Diare (-);Alergi Obat (-)")</f>
        <v>Nyeri kepala;disertai tegang di pundak;Mual (+);Kembung;Nyeri lambung (+);Diare (-);Alergi Obat (-)</v>
      </c>
      <c r="F23" s="15" t="str">
        <f ca="1">IFERROR(__xludf.DUMMYFUNCTION("VLOOKUP($B52,FILTER('Kode Gejala + G44.2'!$B$2:$L$229, 'Kode Gejala + G44.2'!$L$2:$L$229&lt;&gt;""""),11,FALSE)"),"Nyeri kepala;disertai tegang di pundak;Mual;Kembung;Nyeri lambung;Diare nihil;Alergi Obat nihil")</f>
        <v>Nyeri kepala;disertai tegang di pundak;Mual;Kembung;Nyeri lambung;Diare nihil;Alergi Obat nihil</v>
      </c>
      <c r="G23" s="7" t="str">
        <f ca="1">IFERROR(__xludf.DUMMYFUNCTION("VLOOKUP($B52,FILTER('Kode Gejala + G44.2'!$B$2:$M$229, 'Kode Gejala + G44.2'!$M$2:$M$229&lt;&gt;""""),12,FALSE)"),"G0,G614,G61,O,O,O,T")</f>
        <v>G0,G614,G61,O,O,O,T</v>
      </c>
    </row>
    <row r="24" spans="1:7" ht="52.8" x14ac:dyDescent="0.3">
      <c r="A24" s="4">
        <v>23</v>
      </c>
      <c r="B24" s="5" t="s">
        <v>40</v>
      </c>
      <c r="C24" s="5" t="s">
        <v>17</v>
      </c>
      <c r="D24" s="8" t="s">
        <v>9</v>
      </c>
      <c r="E24" s="9" t="str">
        <f ca="1">IFERROR(__xludf.DUMMYFUNCTION("VLOOKUP($B53,FILTER('Kode Gejala + G44.2'!$B$2:$K$229, 'Kode Gejala + G44.2'!$K$2:$K$229&lt;&gt;""""),10,FALSE)"),"nyeri kepala seprti terkat;dibagian belakang kepala;sejak 2 HSMRS;badan kadang terasa lemas;RPD : Epilepsi pengobatan 4 tahun saat usia 7 tahun")</f>
        <v>nyeri kepala seprti terkat;dibagian belakang kepala;sejak 2 HSMRS;badan kadang terasa lemas;RPD : Epilepsi pengobatan 4 tahun saat usia 7 tahun</v>
      </c>
      <c r="F24" s="15" t="str">
        <f ca="1">IFERROR(__xludf.DUMMYFUNCTION("VLOOKUP($B53,FILTER('Kode Gejala + G44.2'!$B$2:$L$229, 'Kode Gejala + G44.2'!$L$2:$L$229&lt;&gt;""""),11,FALSE)"),"nyeri kepala seperti terikat;dibagian belakang kepala;sejak 2 HSMRS;badan kadang terasa lemas;RPD Epilepsi pengobatan 4 tahun saat usia 7 tahun")</f>
        <v>nyeri kepala seperti terikat;dibagian belakang kepala;sejak 2 HSMRS;badan kadang terasa lemas;RPD Epilepsi pengobatan 4 tahun saat usia 7 tahun</v>
      </c>
      <c r="G24" s="7" t="str">
        <f ca="1">IFERROR(__xludf.DUMMYFUNCTION("VLOOKUP($B53,FILTER('Kode Gejala + G44.2'!$B$2:$M$229, 'Kode Gejala + G44.2'!$M$2:$M$229&lt;&gt;""""),12,FALSE)"),"G15,G21,G51,O,O")</f>
        <v>G15,G21,G51,O,O</v>
      </c>
    </row>
    <row r="25" spans="1:7" ht="39.6" x14ac:dyDescent="0.3">
      <c r="A25" s="4">
        <v>24</v>
      </c>
      <c r="B25" s="5" t="s">
        <v>41</v>
      </c>
      <c r="C25" s="5" t="s">
        <v>16</v>
      </c>
      <c r="D25" s="5" t="s">
        <v>9</v>
      </c>
      <c r="E25" s="9" t="str">
        <f ca="1">IFERROR(__xludf.DUMMYFUNCTION("VLOOKUP($B54,FILTER('Kode Gejala + G44.2'!$B$2:$K$229, 'Kode Gejala + G44.2'!$K$2:$K$229&lt;&gt;""""),10,FALSE)"),"Badan terasa gatal2 (+);Kemerahan (-);+-1minggu Kepala terasa pusing (+);Gliyer (+);Mual Muntah (-)")</f>
        <v>Badan terasa gatal2 (+);Kemerahan (-);+-1minggu Kepala terasa pusing (+);Gliyer (+);Mual Muntah (-)</v>
      </c>
      <c r="F25" s="15" t="str">
        <f ca="1">IFERROR(__xludf.DUMMYFUNCTION("VLOOKUP($B54,FILTER('Kode Gejala + G44.2'!$B$2:$L$229, 'Kode Gejala + G44.2'!$L$2:$L$229&lt;&gt;""""),11,FALSE)"),"Badan terasa gatal gatal;Kemerahan nihil;kurang lebih 1 minggu Kepala terasa pusing;Gliyer;Mual Muntah nihil")</f>
        <v>Badan terasa gatal gatal;Kemerahan nihil;kurang lebih 1 minggu Kepala terasa pusing;Gliyer;Mual Muntah nihil</v>
      </c>
      <c r="G25" s="7" t="str">
        <f ca="1">IFERROR(__xludf.DUMMYFUNCTION("VLOOKUP($B54,FILTER('Kode Gejala + G44.2'!$B$2:$M$229, 'Kode Gejala + G44.2'!$M$2:$M$229&lt;&gt;""""),12,FALSE)"),"O,O,G51,O,XG61")</f>
        <v>O,O,G51,O,XG61</v>
      </c>
    </row>
    <row r="26" spans="1:7" ht="52.8" x14ac:dyDescent="0.3">
      <c r="A26" s="4">
        <v>25</v>
      </c>
      <c r="B26" s="5" t="s">
        <v>42</v>
      </c>
      <c r="C26" s="5" t="s">
        <v>13</v>
      </c>
      <c r="D26" s="8" t="s">
        <v>9</v>
      </c>
      <c r="E26" s="9" t="str">
        <f ca="1">IFERROR(__xludf.DUMMYFUNCTION("VLOOKUP($B58,FILTER('Kode Gejala + G44.2'!$B$2:$K$229, 'Kode Gejala + G44.2'!$K$2:$K$229&lt;&gt;""""),10,FALSE)"),"Kliyengan (+);Pusing (+);Mual (-);Muntah (-);Demam (-);Pusing berputar (-);+-4hari;Alergi obat (-);gerakan kepala terasa berat")</f>
        <v>Kliyengan (+);Pusing (+);Mual (-);Muntah (-);Demam (-);Pusing berputar (-);+-4hari;Alergi obat (-);gerakan kepala terasa berat</v>
      </c>
      <c r="F26" s="15" t="str">
        <f ca="1">IFERROR(__xludf.DUMMYFUNCTION("VLOOKUP($B58,FILTER('Kode Gejala + G44.2'!$B$2:$L$229, 'Kode Gejala + G44.2'!$L$2:$L$229&lt;&gt;""""),11,FALSE)"),"Kliyengan;Pusing;Mual nihil;Muntah nihil;Demam nihil;Pusing berputar nihil;kurang lebih 4 hari;Alergi obat nihil;gerakan kepala terasa berat")</f>
        <v>Kliyengan;Pusing;Mual nihil;Muntah nihil;Demam nihil;Pusing berputar nihil;kurang lebih 4 hari;Alergi obat nihil;gerakan kepala terasa berat</v>
      </c>
      <c r="G26" s="7" t="str">
        <f ca="1">IFERROR(__xludf.DUMMYFUNCTION("VLOOKUP($B58,FILTER('Kode Gejala + G44.2'!$B$2:$M$229, 'Kode Gejala + G44.2'!$M$2:$M$229&lt;&gt;""""),12,FALSE)"),"G0,G0,XG61,XG62,O,O,G51,T,G13")</f>
        <v>G0,G0,XG61,XG62,O,O,G51,T,G13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1.1 Case (remove formula)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Muhammmad Dedad Fajar</dc:creator>
  <cp:lastModifiedBy>admin</cp:lastModifiedBy>
  <dcterms:created xsi:type="dcterms:W3CDTF">2015-06-05T18:17:20Z</dcterms:created>
  <dcterms:modified xsi:type="dcterms:W3CDTF">2026-08-05T08:43:44Z</dcterms:modified>
  <cp:contentStatus/>
</cp:coreProperties>
</file>