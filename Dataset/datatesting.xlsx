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admin\Documents\Penelitian\CBR Research\Dataset\"/>
    </mc:Choice>
  </mc:AlternateContent>
  <xr:revisionPtr revIDLastSave="0" documentId="13_ncr:1_{5C45889B-AFAF-405E-8971-1FEA5F84C202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Data 1.1 Case" sheetId="3" r:id="rId1"/>
    <sheet name="Data 1.1 Case (remove formula)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6" i="4" l="1"/>
  <c r="F26" i="4"/>
  <c r="E26" i="4"/>
  <c r="G25" i="4"/>
  <c r="F25" i="4"/>
  <c r="E25" i="4"/>
  <c r="G24" i="4"/>
  <c r="F24" i="4"/>
  <c r="E24" i="4"/>
  <c r="G23" i="4"/>
  <c r="F23" i="4"/>
  <c r="E23" i="4"/>
  <c r="G22" i="4"/>
  <c r="F22" i="4"/>
  <c r="E22" i="4"/>
  <c r="G21" i="4"/>
  <c r="F21" i="4"/>
  <c r="E21" i="4"/>
  <c r="G20" i="4"/>
  <c r="F20" i="4"/>
  <c r="E20" i="4"/>
  <c r="G19" i="4"/>
  <c r="F19" i="4"/>
  <c r="E19" i="4"/>
  <c r="G18" i="4"/>
  <c r="F18" i="4"/>
  <c r="E18" i="4"/>
  <c r="G17" i="4"/>
  <c r="F17" i="4"/>
  <c r="E17" i="4"/>
  <c r="G16" i="4"/>
  <c r="F16" i="4"/>
  <c r="E16" i="4"/>
  <c r="G15" i="4"/>
  <c r="F15" i="4"/>
  <c r="E15" i="4"/>
  <c r="G14" i="4"/>
  <c r="F14" i="4"/>
  <c r="E14" i="4"/>
  <c r="G13" i="4"/>
  <c r="F13" i="4"/>
  <c r="E13" i="4"/>
  <c r="G12" i="4"/>
  <c r="F12" i="4"/>
  <c r="E12" i="4"/>
  <c r="G11" i="4"/>
  <c r="F11" i="4"/>
  <c r="E11" i="4"/>
  <c r="G10" i="4"/>
  <c r="F10" i="4"/>
  <c r="E10" i="4"/>
  <c r="G9" i="4"/>
  <c r="F9" i="4"/>
  <c r="E9" i="4"/>
  <c r="G8" i="4"/>
  <c r="F8" i="4"/>
  <c r="E8" i="4"/>
  <c r="G7" i="4"/>
  <c r="F7" i="4"/>
  <c r="E7" i="4"/>
  <c r="G6" i="4"/>
  <c r="F6" i="4"/>
  <c r="E6" i="4"/>
  <c r="G5" i="4"/>
  <c r="F5" i="4"/>
  <c r="E5" i="4"/>
  <c r="G4" i="4"/>
  <c r="F4" i="4"/>
  <c r="E4" i="4"/>
  <c r="G3" i="4"/>
  <c r="F3" i="4"/>
  <c r="E3" i="4"/>
  <c r="G2" i="4"/>
  <c r="F2" i="4"/>
  <c r="E2" i="4"/>
  <c r="E3" i="3"/>
  <c r="G9" i="3"/>
  <c r="F9" i="3"/>
  <c r="E9" i="3"/>
  <c r="G42" i="3"/>
  <c r="F42" i="3"/>
  <c r="E42" i="3"/>
  <c r="G41" i="3"/>
  <c r="F41" i="3"/>
  <c r="E41" i="3"/>
  <c r="G40" i="3"/>
  <c r="F40" i="3"/>
  <c r="E40" i="3"/>
  <c r="G39" i="3"/>
  <c r="F39" i="3"/>
  <c r="E39" i="3"/>
  <c r="G38" i="3"/>
  <c r="F38" i="3"/>
  <c r="E38" i="3"/>
  <c r="G37" i="3"/>
  <c r="F37" i="3"/>
  <c r="E37" i="3"/>
  <c r="G36" i="3"/>
  <c r="F36" i="3"/>
  <c r="E36" i="3"/>
  <c r="G35" i="3"/>
  <c r="F35" i="3"/>
  <c r="E35" i="3"/>
  <c r="G34" i="3"/>
  <c r="F34" i="3"/>
  <c r="E34" i="3"/>
  <c r="G33" i="3"/>
  <c r="F33" i="3"/>
  <c r="E33" i="3"/>
  <c r="G32" i="3"/>
  <c r="F32" i="3"/>
  <c r="E32" i="3"/>
  <c r="G31" i="3"/>
  <c r="F31" i="3"/>
  <c r="E31" i="3"/>
  <c r="G30" i="3"/>
  <c r="F30" i="3"/>
  <c r="E30" i="3"/>
  <c r="G29" i="3"/>
  <c r="F29" i="3"/>
  <c r="E29" i="3"/>
  <c r="G27" i="3"/>
  <c r="F27" i="3"/>
  <c r="E27" i="3"/>
  <c r="G28" i="3"/>
  <c r="F28" i="3"/>
  <c r="E28" i="3"/>
  <c r="G25" i="3"/>
  <c r="F25" i="3"/>
  <c r="E25" i="3"/>
  <c r="G26" i="3"/>
  <c r="F26" i="3"/>
  <c r="E26" i="3"/>
  <c r="G24" i="3"/>
  <c r="F24" i="3"/>
  <c r="E24" i="3"/>
  <c r="G23" i="3"/>
  <c r="F23" i="3"/>
  <c r="E23" i="3"/>
  <c r="G22" i="3"/>
  <c r="F22" i="3"/>
  <c r="E22" i="3"/>
  <c r="G21" i="3"/>
  <c r="F21" i="3"/>
  <c r="E21" i="3"/>
  <c r="G20" i="3"/>
  <c r="F20" i="3"/>
  <c r="E20" i="3"/>
  <c r="G19" i="3"/>
  <c r="F19" i="3"/>
  <c r="E19" i="3"/>
  <c r="G18" i="3"/>
  <c r="F18" i="3"/>
  <c r="E18" i="3"/>
  <c r="G17" i="3"/>
  <c r="F17" i="3"/>
  <c r="E17" i="3"/>
  <c r="G16" i="3"/>
  <c r="F16" i="3"/>
  <c r="E16" i="3"/>
  <c r="G15" i="3"/>
  <c r="F15" i="3"/>
  <c r="E15" i="3"/>
  <c r="G14" i="3"/>
  <c r="F14" i="3"/>
  <c r="E14" i="3"/>
  <c r="G12" i="3"/>
  <c r="F12" i="3"/>
  <c r="E12" i="3"/>
  <c r="G13" i="3"/>
  <c r="F13" i="3"/>
  <c r="E13" i="3"/>
  <c r="G10" i="3"/>
  <c r="F10" i="3"/>
  <c r="E10" i="3"/>
  <c r="G11" i="3"/>
  <c r="F11" i="3"/>
  <c r="E11" i="3"/>
  <c r="G8" i="3"/>
  <c r="F8" i="3"/>
  <c r="E8" i="3"/>
  <c r="G7" i="3"/>
  <c r="F7" i="3"/>
  <c r="E7" i="3"/>
  <c r="G6" i="3"/>
  <c r="F6" i="3"/>
  <c r="E6" i="3"/>
  <c r="G5" i="3"/>
  <c r="F5" i="3"/>
  <c r="E5" i="3"/>
  <c r="G4" i="3"/>
  <c r="F4" i="3"/>
  <c r="E4" i="3"/>
  <c r="G3" i="3"/>
  <c r="F3" i="3"/>
</calcChain>
</file>

<file path=xl/sharedStrings.xml><?xml version="1.0" encoding="utf-8"?>
<sst xmlns="http://schemas.openxmlformats.org/spreadsheetml/2006/main" count="209" uniqueCount="74">
  <si>
    <t>no</t>
  </si>
  <si>
    <t>icd_x</t>
  </si>
  <si>
    <t>case_id</t>
  </si>
  <si>
    <t>no_raw</t>
  </si>
  <si>
    <t>raw_semicolon</t>
  </si>
  <si>
    <t>normalized_semicolon</t>
  </si>
  <si>
    <t>G44.0</t>
  </si>
  <si>
    <t>case_codes</t>
  </si>
  <si>
    <t>38</t>
  </si>
  <si>
    <t>65</t>
  </si>
  <si>
    <t>G44.2</t>
  </si>
  <si>
    <t>37</t>
  </si>
  <si>
    <t>64</t>
  </si>
  <si>
    <t>36</t>
  </si>
  <si>
    <t>63</t>
  </si>
  <si>
    <t>35</t>
  </si>
  <si>
    <t>62</t>
  </si>
  <si>
    <t>34</t>
  </si>
  <si>
    <t>61</t>
  </si>
  <si>
    <t>33</t>
  </si>
  <si>
    <t>60</t>
  </si>
  <si>
    <t>32</t>
  </si>
  <si>
    <t>59</t>
  </si>
  <si>
    <t>31</t>
  </si>
  <si>
    <t>58</t>
  </si>
  <si>
    <t>30</t>
  </si>
  <si>
    <t>29</t>
  </si>
  <si>
    <t>56</t>
  </si>
  <si>
    <t>28</t>
  </si>
  <si>
    <t>55</t>
  </si>
  <si>
    <t>27</t>
  </si>
  <si>
    <t>54</t>
  </si>
  <si>
    <t>26</t>
  </si>
  <si>
    <t>25</t>
  </si>
  <si>
    <t>24</t>
  </si>
  <si>
    <t>23</t>
  </si>
  <si>
    <t>50</t>
  </si>
  <si>
    <t>22</t>
  </si>
  <si>
    <t>21</t>
  </si>
  <si>
    <t>48</t>
  </si>
  <si>
    <t>20</t>
  </si>
  <si>
    <t>47</t>
  </si>
  <si>
    <t>19</t>
  </si>
  <si>
    <t>46</t>
  </si>
  <si>
    <t>18</t>
  </si>
  <si>
    <t>45</t>
  </si>
  <si>
    <t>17</t>
  </si>
  <si>
    <t>44</t>
  </si>
  <si>
    <t>15</t>
  </si>
  <si>
    <t>43</t>
  </si>
  <si>
    <t>14</t>
  </si>
  <si>
    <t>42</t>
  </si>
  <si>
    <t>13</t>
  </si>
  <si>
    <t>41</t>
  </si>
  <si>
    <t>12</t>
  </si>
  <si>
    <t>11</t>
  </si>
  <si>
    <t>10</t>
  </si>
  <si>
    <t>9</t>
  </si>
  <si>
    <t>8</t>
  </si>
  <si>
    <t>7</t>
  </si>
  <si>
    <t>6</t>
  </si>
  <si>
    <t>4</t>
  </si>
  <si>
    <t>3</t>
  </si>
  <si>
    <t>2</t>
  </si>
  <si>
    <t>1</t>
  </si>
  <si>
    <t>16</t>
  </si>
  <si>
    <t>5</t>
  </si>
  <si>
    <t>52</t>
  </si>
  <si>
    <t>53</t>
  </si>
  <si>
    <t>57</t>
  </si>
  <si>
    <t>39</t>
  </si>
  <si>
    <t>40</t>
  </si>
  <si>
    <t>49</t>
  </si>
  <si>
    <t>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</si>
</sst>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3" fillId="0" borderId="0"/>
  </cellStyleXfs>
  <cellXfs count="32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49" fontId="2" fillId="0" borderId="1" xfId="1" applyNumberFormat="1" applyFont="1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" xfId="1" applyFont="1" applyBorder="1" applyAlignment="1">
      <alignment vertical="center" wrapText="1"/>
    </xf>
    <xf numFmtId="0" fontId="2" fillId="0" borderId="0" xfId="1" applyFont="1" applyAlignment="1">
      <alignment vertical="center"/>
    </xf>
    <xf numFmtId="0" fontId="4" fillId="0" borderId="0" xfId="1" applyFont="1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4" fillId="0" borderId="1" xfId="1" applyFont="1" applyBorder="1" applyAlignment="1">
      <alignment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49" fontId="2" fillId="0" borderId="1" xfId="1" applyNumberFormat="1" applyFont="1" applyBorder="1" applyAlignment="1">
      <alignment horizontal="center" vertical="center"/>
    </xf>
    <xf numFmtId="49" fontId="2" fillId="0" borderId="1" xfId="1" applyNumberFormat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0" fontId="2" fillId="0" borderId="1" xfId="1" applyFont="1" applyBorder="1" applyAlignment="1">
      <alignment horizontal="left" vertical="center" wrapText="1"/>
    </xf>
    <xf numFmtId="49" fontId="2" fillId="2" borderId="1" xfId="1" applyNumberFormat="1" applyFont="1" applyFill="1" applyBorder="1" applyAlignment="1">
      <alignment horizontal="center" vertical="center"/>
    </xf>
    <xf numFmtId="49" fontId="2" fillId="2" borderId="1" xfId="1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left" vertical="center" wrapText="1"/>
    </xf>
    <xf numFmtId="0" fontId="2" fillId="2" borderId="1" xfId="1" applyFont="1" applyFill="1" applyBorder="1" applyAlignment="1">
      <alignment horizontal="center" vertical="center" wrapText="1"/>
    </xf>
    <xf numFmtId="0" fontId="4" fillId="3" borderId="1" xfId="1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5BFADD42-6171-4F7C-A932-2378194F06C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09C39-71F1-4713-9EA2-74A4315D38B9}">
  <dimension ref="A2:AA42"/>
  <sheetViews>
    <sheetView topLeftCell="F1" zoomScaleNormal="100" workbookViewId="0">
      <selection activeCell="F6" sqref="F6"/>
    </sheetView>
  </sheetViews>
  <sheetFormatPr defaultColWidth="9.109375" defaultRowHeight="13.2" x14ac:dyDescent="0.3"/>
  <cols>
    <col min="1" max="1" width="9.109375" style="16"/>
    <col min="2" max="2" width="9.5546875" style="1" customWidth="1"/>
    <col min="3" max="3" width="10" style="1" customWidth="1"/>
    <col min="4" max="4" width="5.5546875" style="17" bestFit="1" customWidth="1"/>
    <col min="5" max="5" width="49.5546875" style="17" customWidth="1"/>
    <col min="6" max="6" width="58.109375" style="17" customWidth="1"/>
    <col min="7" max="7" width="36.44140625" style="17" customWidth="1"/>
    <col min="8" max="16384" width="9.109375" style="17"/>
  </cols>
  <sheetData>
    <row r="2" spans="1:27" x14ac:dyDescent="0.3">
      <c r="A2" s="18" t="s">
        <v>0</v>
      </c>
      <c r="B2" s="6" t="s">
        <v>2</v>
      </c>
      <c r="C2" s="6" t="s">
        <v>3</v>
      </c>
      <c r="D2" s="7" t="s">
        <v>1</v>
      </c>
      <c r="E2" s="7" t="s">
        <v>4</v>
      </c>
      <c r="F2" s="7" t="s">
        <v>5</v>
      </c>
      <c r="G2" s="7" t="s">
        <v>7</v>
      </c>
    </row>
    <row r="3" spans="1:27" s="12" customFormat="1" ht="52.8" x14ac:dyDescent="0.25">
      <c r="A3" s="18">
        <v>1</v>
      </c>
      <c r="B3" s="19" t="s">
        <v>26</v>
      </c>
      <c r="C3" s="20" t="s">
        <v>13</v>
      </c>
      <c r="D3" s="9" t="s">
        <v>6</v>
      </c>
      <c r="E3" s="10" t="str">
        <f ca="1">IFERROR(__xludf.DUMMYFUNCTION("VLOOKUP($B30,FILTER('Kode Gejala + G44.0'!$B$2:$K$172, 'Kode Gejala + G44.0'!$K$2:$K$172&lt;&gt;""""),10,FALSE)"),"sering pusing (+);sering tidak fokus(+);tiba2 sering negblank;sering oleng;pasien dengan riwayat chepalgia kronik progresif;Cum fotal seizire cum DN VI Det VIII D cum lesi umn D;pasien ingin konsul poli Saraf RS.Hermina")</f>
        <v>sering pusing (+);sering tidak fokus(+);tiba2 sering negblank;sering oleng;pasien dengan riwayat chepalgia kronik progresif;Cum fotal seizire cum DN VI Det VIII D cum lesi umn D;pasien ingin konsul poli Saraf RS.Hermina</v>
      </c>
      <c r="F3" s="10" t="str">
        <f ca="1">IFERROR(__xludf.DUMMYFUNCTION("VLOOKUP($B30,FILTER('Kode Gejala + G44.0'!$B$2:$L$172, 'Kode Gejala + G44.0'!$L$2:$L$172&lt;&gt;""""),11,FALSE)"),"sering pusing;sering tidak fokus;tiba tiba sering ngeblank;sering oleng;pasien dengan riwayat chepalgia kronik progresif;Cum fotal seizire cum DN VI Det VIII D cum lesi umn D;pasien ingin konsul poli Saraf RS.Hermina")</f>
        <v>sering pusing;sering tidak fokus;tiba tiba sering ngeblank;sering oleng;pasien dengan riwayat chepalgia kronik progresif;Cum fotal seizire cum DN VI Det VIII D cum lesi umn D;pasien ingin konsul poli Saraf RS.Hermina</v>
      </c>
      <c r="G3" s="10" t="str">
        <f ca="1">IFERROR(__xludf.DUMMYFUNCTION("VLOOKUP($B30,FILTER('Kode Gejala + G44.0'!$B$2:$M$172, 'Kode Gejala + G44.0'!$M$2:$M$172&lt;&gt;""""),12,FALSE)"),"G31,O,O,O,G32,O,T")</f>
        <v>G31,O,O,O,G32,O,T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</row>
    <row r="4" spans="1:27" ht="26.4" x14ac:dyDescent="0.3">
      <c r="A4" s="18">
        <v>2</v>
      </c>
      <c r="B4" s="19" t="s">
        <v>55</v>
      </c>
      <c r="C4" s="20" t="s">
        <v>46</v>
      </c>
      <c r="D4" s="8" t="s">
        <v>6</v>
      </c>
      <c r="E4" s="10" t="str">
        <f ca="1">IFERROR(__xludf.DUMMYFUNCTION("VLOOKUP($B12,FILTER('Kode Gejala + G44.0'!$B$2:$K$172, 'Kode Gejala + G44.0'!$K$2:$K$172&lt;&gt;""""),10,FALSE)"),"demam 3 hr;pusing(+);bab lembek(+);perut mual(-);muntah(-);alergi obat(-)")</f>
        <v>demam 3 hr;pusing(+);bab lembek(+);perut mual(-);muntah(-);alergi obat(-)</v>
      </c>
      <c r="F4" s="10" t="str">
        <f ca="1">IFERROR(__xludf.DUMMYFUNCTION("VLOOKUP($B12,FILTER('Kode Gejala + G44.0'!$B$2:$L$172, 'Kode Gejala + G44.0'!$L$2:$L$172&lt;&gt;""""),11,FALSE)"),"demam 3 hari;pusing;bab lembek;perut mual nihil;muntah nihil;alergi obat nihil")</f>
        <v>demam 3 hari;pusing;bab lembek;perut mual nihil;muntah nihil;alergi obat nihil</v>
      </c>
      <c r="G4" s="10" t="str">
        <f ca="1">IFERROR(__xludf.DUMMYFUNCTION("VLOOKUP($B12,FILTER('Kode Gejala + G44.0'!$B$2:$M$172, 'Kode Gejala + G44.0'!$M$2:$M$172&lt;&gt;""""),12,FALSE)"),"O,G0,O,XG61,XG62,T")</f>
        <v>O,G0,O,XG61,XG62,T</v>
      </c>
    </row>
    <row r="5" spans="1:27" s="12" customFormat="1" ht="39.6" x14ac:dyDescent="0.25">
      <c r="A5" s="18">
        <v>3</v>
      </c>
      <c r="B5" s="19" t="s">
        <v>28</v>
      </c>
      <c r="C5" s="20" t="s">
        <v>15</v>
      </c>
      <c r="D5" s="8" t="s">
        <v>6</v>
      </c>
      <c r="E5" s="10" t="str">
        <f ca="1">IFERROR(__xludf.DUMMYFUNCTION("VLOOKUP($B29,FILTER('Kode Gejala + G44.0'!$B$2:$K$172, 'Kode Gejala + G44.0'!$K$2:$K$172&lt;&gt;""""),10,FALSE)"),"konsultasi rujukan Poli Saraf RSHermina pasien dengan RPD LBP konsultasi PRB pasien dengan RPd asthma nyeri kepala (+)")</f>
        <v>konsultasi rujukan Poli Saraf RSHermina pasien dengan RPD LBP konsultasi PRB pasien dengan RPd asthma nyeri kepala (+)</v>
      </c>
      <c r="F5" s="10" t="str">
        <f ca="1">IFERROR(__xludf.DUMMYFUNCTION("VLOOKUP($B29,FILTER('Kode Gejala + G44.0'!$B$2:$L$172, 'Kode Gejala + G44.0'!$L$2:$L$172&lt;&gt;""""),11,FALSE)"),"konsultasi rujukan Poli Saraf RS Hermina pasien dengan RPD LBP konsultasi PRB pasien dengan RPd asthma nyeri kepala")</f>
        <v>konsultasi rujukan Poli Saraf RS Hermina pasien dengan RPD LBP konsultasi PRB pasien dengan RPd asthma nyeri kepala</v>
      </c>
      <c r="G5" s="10" t="str">
        <f ca="1">IFERROR(__xludf.DUMMYFUNCTION("VLOOKUP($B29,FILTER('Kode Gejala + G44.0'!$B$2:$M$172, 'Kode Gejala + G44.0'!$M$2:$M$172&lt;&gt;""""),12,FALSE)"),"G0")</f>
        <v>G0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spans="1:27" s="12" customFormat="1" ht="66" x14ac:dyDescent="0.25">
      <c r="A6" s="18">
        <v>4</v>
      </c>
      <c r="B6" s="19" t="s">
        <v>32</v>
      </c>
      <c r="C6" s="20" t="s">
        <v>21</v>
      </c>
      <c r="D6" s="9" t="s">
        <v>6</v>
      </c>
      <c r="E6" s="10" t="str">
        <f ca="1">IFERROR(__xludf.DUMMYFUNCTION("VLOOKUP($B27,FILTER('Kode Gejala + G44.0'!$B$2:$K$172, 'Kode Gejala + G44.0'!$K$2:$K$172&lt;&gt;""""),10,FALSE)"),"Sakit kepala kiri (+);Nyeri badan sebelah kiri Tangan dan badan kiri gerak;timbul nyeri di kepala kiri;pandangan mata kiri kabur (+);riwayat periksa GDS di aceh 250;semalam minum ibuprofen, amlodipin, omeprazole;tengkuk terasa tidak nyaman (+)")</f>
        <v>Sakit kepala kiri (+);Nyeri badan sebelah kiri Tangan dan badan kiri gerak;timbul nyeri di kepala kiri;pandangan mata kiri kabur (+);riwayat periksa GDS di aceh 250;semalam minum ibuprofen, amlodipin, omeprazole;tengkuk terasa tidak nyaman (+)</v>
      </c>
      <c r="F6" s="10" t="str">
        <f ca="1">IFERROR(__xludf.DUMMYFUNCTION("VLOOKUP($B27,FILTER('Kode Gejala + G44.0'!$B$2:$L$172, 'Kode Gejala + G44.0'!$L$2:$L$172&lt;&gt;""""),11,FALSE)"),"sakit kepala kiri;nyeri badan sebelah kiri tangan dan badan kiri gerak;timbul nyeri di kepala kiri;pandangan mata kiri kabur;riwayat periksa GDS di aceh 250;semalam minum ibuprofen, amlodipin, omeprazole;tengkuk terasa tidak nyaman")</f>
        <v>sakit kepala kiri;nyeri badan sebelah kiri tangan dan badan kiri gerak;timbul nyeri di kepala kiri;pandangan mata kiri kabur;riwayat periksa GDS di aceh 250;semalam minum ibuprofen, amlodipin, omeprazole;tengkuk terasa tidak nyaman</v>
      </c>
      <c r="G6" s="10" t="str">
        <f ca="1">IFERROR(__xludf.DUMMYFUNCTION("VLOOKUP($B27,FILTER('Kode Gejala + G44.0'!$B$2:$M$172, 'Kode Gejala + G44.0'!$M$2:$M$172&lt;&gt;""""),12,FALSE)"),"G23,O,G23,O,T,T,G614")</f>
        <v>G23,O,G23,O,T,T,G614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 spans="1:27" s="12" customFormat="1" ht="26.4" x14ac:dyDescent="0.25">
      <c r="A7" s="18">
        <v>5</v>
      </c>
      <c r="B7" s="19" t="s">
        <v>37</v>
      </c>
      <c r="C7" s="20" t="s">
        <v>28</v>
      </c>
      <c r="D7" s="8" t="s">
        <v>6</v>
      </c>
      <c r="E7" s="10" t="str">
        <f ca="1">IFERROR(__xludf.DUMMYFUNCTION("VLOOKUP($B23,FILTER('Kode Gejala + G44.0'!$B$2:$K$172, 'Kode Gejala + G44.0'!$K$2:$K$172&lt;&gt;""""),10,FALSE)"),"kepala masih sering;terasa pusing + berputar +;mual -;muntah -;sdh 3 bln tdk kontrol k poli saraf")</f>
        <v>kepala masih sering;terasa pusing + berputar +;mual -;muntah -;sdh 3 bln tdk kontrol k poli saraf</v>
      </c>
      <c r="F7" s="10" t="str">
        <f ca="1">IFERROR(__xludf.DUMMYFUNCTION("VLOOKUP($B23,FILTER('Kode Gejala + G44.0'!$B$2:$L$172, 'Kode Gejala + G44.0'!$L$2:$L$172&lt;&gt;""""),11,FALSE)"),"kepala masih sering;terasa pusing berputar;mual nihil;muntah nihil;sudah 3 bulan tidak kontrol ke poli saraf")</f>
        <v>kepala masih sering;terasa pusing berputar;mual nihil;muntah nihil;sudah 3 bulan tidak kontrol ke poli saraf</v>
      </c>
      <c r="G7" s="10" t="str">
        <f ca="1">IFERROR(__xludf.DUMMYFUNCTION("VLOOKUP($B23,FILTER('Kode Gejala + G44.0'!$B$2:$M$172, 'Kode Gejala + G44.0'!$M$2:$M$172&lt;&gt;""""),12,FALSE)"),"G34,O,XG61,XG62,T")</f>
        <v>G34,O,XG61,XG62,T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</row>
    <row r="8" spans="1:27" s="12" customFormat="1" ht="26.4" x14ac:dyDescent="0.25">
      <c r="A8" s="18">
        <v>6</v>
      </c>
      <c r="B8" s="19" t="s">
        <v>40</v>
      </c>
      <c r="C8" s="20" t="s">
        <v>32</v>
      </c>
      <c r="D8" s="8" t="s">
        <v>6</v>
      </c>
      <c r="E8" s="10" t="str">
        <f ca="1">IFERROR(__xludf.DUMMYFUNCTION("VLOOKUP($B21,FILTER('Kode Gejala + G44.0'!$B$2:$K$172, 'Kode Gejala + G44.0'!$K$2:$K$172&lt;&gt;""""),10,FALSE)"),"demam sejak semlm (+);nyeri kepala (+);mual (-);alergi obat (-)")</f>
        <v>demam sejak semlm (+);nyeri kepala (+);mual (-);alergi obat (-)</v>
      </c>
      <c r="F8" s="10" t="str">
        <f ca="1">IFERROR(__xludf.DUMMYFUNCTION("VLOOKUP($B21,FILTER('Kode Gejala + G44.0'!$B$2:$L$172, 'Kode Gejala + G44.0'!$L$2:$L$172&lt;&gt;""""),11,FALSE)"),"demam sejak semalam;nyeri kepala;mual nihil;alergi obat nihil")</f>
        <v>demam sejak semalam;nyeri kepala;mual nihil;alergi obat nihil</v>
      </c>
      <c r="G8" s="10" t="str">
        <f ca="1">IFERROR(__xludf.DUMMYFUNCTION("VLOOKUP($B21,FILTER('Kode Gejala + G44.0'!$B$2:$M$172, 'Kode Gejala + G44.0'!$M$2:$M$172&lt;&gt;""""),12,FALSE)"),"O,G0,XG61,T")</f>
        <v>O,G0,XG61,T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</row>
    <row r="9" spans="1:27" ht="26.4" x14ac:dyDescent="0.3">
      <c r="A9" s="18">
        <v>7</v>
      </c>
      <c r="B9" s="23" t="s">
        <v>52</v>
      </c>
      <c r="C9" s="24" t="s">
        <v>42</v>
      </c>
      <c r="D9" s="13" t="s">
        <v>6</v>
      </c>
      <c r="E9" s="14" t="str">
        <f ca="1">IFERROR(__xludf.DUMMYFUNCTION("VLOOKUP($B14,FILTER('Kode Gejala + G44.0'!$B$2:$K$172, 'Kode Gejala + G44.0'!$K$2:$K$172&lt;&gt;""""),10,FALSE)"),"kemaren;hr ini febris ( td mlm );pusing (+);mual(-);batuk (-);pilek (-);nyeri telan (-);nyeri perut (+);mules (+);diare (-)")</f>
        <v>kemaren;hr ini febris ( td mlm );pusing (+);mual(-);batuk (-);pilek (-);nyeri telan (-);nyeri perut (+);mules (+);diare (-)</v>
      </c>
      <c r="F9" s="14" t="str">
        <f ca="1">IFERROR(__xludf.DUMMYFUNCTION("VLOOKUP($B14,FILTER('Kode Gejala + G44.0'!$B$2:$L$172, 'Kode Gejala + G44.0'!$L$2:$L$172&lt;&gt;""""),11,FALSE)"),"kemarin;hari ini febris tadi malam;pusing;mual nihil;batuk nihil;pilek nihil;nyeri telan nihil;nyeri perut;mules;diare nihil")</f>
        <v>kemarin;hari ini febris tadi malam;pusing;mual nihil;batuk nihil;pilek nihil;nyeri telan nihil;nyeri perut;mules;diare nihil</v>
      </c>
      <c r="G9" s="14" t="str">
        <f ca="1">IFERROR(__xludf.DUMMYFUNCTION("VLOOKUP($B14,FILTER('Kode Gejala + G44.0'!$B$2:$M$172, 'Kode Gejala + G44.0'!$M$2:$M$172&lt;&gt;""""),12,FALSE)"),"G52,O,G0,XG61,O,XG612,O,O,O,O")</f>
        <v>G52,O,G0,XG61,O,XG612,O,O,O,O</v>
      </c>
    </row>
    <row r="10" spans="1:27" x14ac:dyDescent="0.3">
      <c r="A10" s="18">
        <v>8</v>
      </c>
      <c r="B10" s="19" t="s">
        <v>58</v>
      </c>
      <c r="C10" s="20" t="s">
        <v>50</v>
      </c>
      <c r="D10" s="9" t="s">
        <v>6</v>
      </c>
      <c r="E10" s="10" t="str">
        <f ca="1">IFERROR(__xludf.DUMMYFUNCTION("VLOOKUP($B9,FILTER('Kode Gejala + G44.0'!$B$2:$K$172, 'Kode Gejala + G44.0'!$K$2:$K$172&lt;&gt;""""),10,FALSE)"),"pusing bagian depan kepala;demam 1minggu;mual;batuk")</f>
        <v>pusing bagian depan kepala;demam 1minggu;mual;batuk</v>
      </c>
      <c r="F10" s="10" t="str">
        <f ca="1">IFERROR(__xludf.DUMMYFUNCTION("VLOOKUP($B9,FILTER('Kode Gejala + G44.0'!$B$2:$L$172, 'Kode Gejala + G44.0'!$L$2:$L$172&lt;&gt;""""),11,FALSE)"),"pusing bagian depan kepala;demam 1 minggu;mual;batuk")</f>
        <v>pusing bagian depan kepala;demam 1 minggu;mual;batuk</v>
      </c>
      <c r="G10" s="10" t="str">
        <f ca="1">IFERROR(__xludf.DUMMYFUNCTION("VLOOKUP($B9,FILTER('Kode Gejala + G44.0'!$B$2:$M$172, 'Kode Gejala + G44.0'!$M$2:$M$172&lt;&gt;""""),12,FALSE)"),"G21,O,G61,O")</f>
        <v>G21,O,G61,O</v>
      </c>
    </row>
    <row r="11" spans="1:27" x14ac:dyDescent="0.3">
      <c r="A11" s="18">
        <v>9</v>
      </c>
      <c r="B11" s="19" t="s">
        <v>62</v>
      </c>
      <c r="C11" s="20" t="s">
        <v>66</v>
      </c>
      <c r="D11" s="8" t="s">
        <v>6</v>
      </c>
      <c r="E11" s="10" t="str">
        <f ca="1">IFERROR(__xludf.DUMMYFUNCTION("VLOOKUP($B4,FILTER('Kode Gejala + G44.0'!$B$2:$K$172, 'Kode Gejala + G44.0'!$K$2:$K$172&lt;&gt;""""),10,FALSE)"),"pusing;mual;riwayat iritasi otak")</f>
        <v>pusing;mual;riwayat iritasi otak</v>
      </c>
      <c r="F11" s="10" t="str">
        <f ca="1">IFERROR(__xludf.DUMMYFUNCTION("VLOOKUP($B4,FILTER('Kode Gejala + G44.0'!$B$2:$L$172, 'Kode Gejala + G44.0'!$L$2:$L$172&lt;&gt;""""),11,FALSE)"),"pusing;mual;riwayat iritasi otak")</f>
        <v>pusing;mual;riwayat iritasi otak</v>
      </c>
      <c r="G11" s="10" t="str">
        <f ca="1">IFERROR(__xludf.DUMMYFUNCTION("VLOOKUP($B4,FILTER('Kode Gejala + G44.0'!$B$2:$M$172, 'Kode Gejala + G44.0'!$M$2:$M$172&lt;&gt;""""),12,FALSE)"),"G0,G61,O")</f>
        <v>G0,G61,O</v>
      </c>
    </row>
    <row r="12" spans="1:27" s="12" customFormat="1" x14ac:dyDescent="0.25">
      <c r="A12" s="18">
        <v>10</v>
      </c>
      <c r="B12" s="19" t="s">
        <v>50</v>
      </c>
      <c r="C12" s="20" t="s">
        <v>40</v>
      </c>
      <c r="D12" s="8" t="s">
        <v>6</v>
      </c>
      <c r="E12" s="10" t="str">
        <f ca="1">IFERROR(__xludf.DUMMYFUNCTION("VLOOKUP($B15,FILTER('Kode Gejala + G44.0'!$B$2:$K$172, 'Kode Gejala + G44.0'!$K$2:$K$172&lt;&gt;""""),10,FALSE)"),"nyeri kepala;mual(-);alergi obat(-)")</f>
        <v>nyeri kepala;mual(-);alergi obat(-)</v>
      </c>
      <c r="F12" s="10" t="str">
        <f ca="1">IFERROR(__xludf.DUMMYFUNCTION("VLOOKUP($B15,FILTER('Kode Gejala + G44.0'!$B$2:$L$172, 'Kode Gejala + G44.0'!$L$2:$L$172&lt;&gt;""""),11,FALSE)"),"nyeri kepala;mual nihil;alergi obat nihil")</f>
        <v>nyeri kepala;mual nihil;alergi obat nihil</v>
      </c>
      <c r="G12" s="10" t="str">
        <f ca="1">IFERROR(__xludf.DUMMYFUNCTION("VLOOKUP($B15,FILTER('Kode Gejala + G44.0'!$B$2:$M$172, 'Kode Gejala + G44.0'!$M$2:$M$172&lt;&gt;""""),12,FALSE)"),"G0,XG61,T")</f>
        <v>G0,XG61,T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</row>
    <row r="13" spans="1:27" ht="26.4" x14ac:dyDescent="0.3">
      <c r="A13" s="18">
        <v>11</v>
      </c>
      <c r="B13" s="19" t="s">
        <v>64</v>
      </c>
      <c r="C13" s="20" t="s">
        <v>63</v>
      </c>
      <c r="D13" s="8" t="s">
        <v>6</v>
      </c>
      <c r="E13" s="10" t="str">
        <f ca="1">IFERROR(__xludf.DUMMYFUNCTION("VLOOKUP($B2,FILTER('Kode Gejala + G44.0'!$B$2:$K$172, 'Kode Gejala + G44.0'!$K$2:$K$172&lt;&gt;""""),10,FALSE)"),"maagh nyeri perut;mual;nyeri kepala;resep antasida;headache 4xsebulan;riwayat jatuh")</f>
        <v>maagh nyeri perut;mual;nyeri kepala;resep antasida;headache 4xsebulan;riwayat jatuh</v>
      </c>
      <c r="F13" s="10" t="str">
        <f ca="1">IFERROR(__xludf.DUMMYFUNCTION("VLOOKUP($B2,FILTER('Kode Gejala + G44.0'!$B$2:$L$172, 'Kode Gejala + G44.0'!$L$2:$L$172&lt;&gt;""""),11,FALSE)"),"maagh nyeri perut;mual;nyeri kepala;resep antasida;headache 4 kali sebulan;riwayat jatuh")</f>
        <v>maagh nyeri perut;mual;nyeri kepala;resep antasida;headache 4 kali sebulan;riwayat jatuh</v>
      </c>
      <c r="G13" s="10" t="str">
        <f ca="1">IFERROR(__xludf.DUMMYFUNCTION("VLOOKUP($B2,FILTER('Kode Gejala + G44.0'!$B$2:$M$172, 'Kode Gejala + G44.0'!$M$2:$M$172&lt;&gt;""""),12,FALSE)"),"O,G61,G0,T,G31,O")</f>
        <v>O,G61,G0,T,G31,O</v>
      </c>
    </row>
    <row r="14" spans="1:27" ht="39.6" x14ac:dyDescent="0.3">
      <c r="A14" s="18">
        <v>12</v>
      </c>
      <c r="B14" s="19" t="s">
        <v>34</v>
      </c>
      <c r="C14" s="20" t="s">
        <v>25</v>
      </c>
      <c r="D14" s="9" t="s">
        <v>6</v>
      </c>
      <c r="E14" s="10" t="str">
        <f ca="1">IFERROR(__xludf.DUMMYFUNCTION("VLOOKUP($B25,FILTER('Kode Gejala + G44.0'!$B$2:$K$172, 'Kode Gejala + G44.0'!$K$2:$K$172&lt;&gt;""""),10,FALSE)"),"pusing (+);sering ngantuk (+);lemes (-);kontrol ulang riwayat hypoglikemia;riwayat nyeri kepala hilang timbul;stressor (-);pekerjaan HP/laptop")</f>
        <v>pusing (+);sering ngantuk (+);lemes (-);kontrol ulang riwayat hypoglikemia;riwayat nyeri kepala hilang timbul;stressor (-);pekerjaan HP/laptop</v>
      </c>
      <c r="F14" s="10" t="str">
        <f ca="1">IFERROR(__xludf.DUMMYFUNCTION("VLOOKUP($B25,FILTER('Kode Gejala + G44.0'!$B$2:$L$172, 'Kode Gejala + G44.0'!$L$2:$L$172&lt;&gt;""""),11,FALSE)"),"pusing;sering ngantuk;lemes nihil;kontrol ulang riwayat hypoglikemia;riwayat nyeri kepala hilang timbul;stressor nihil;pekerjaan HP atau laptop")</f>
        <v>pusing;sering ngantuk;lemes nihil;kontrol ulang riwayat hypoglikemia;riwayat nyeri kepala hilang timbul;stressor nihil;pekerjaan HP atau laptop</v>
      </c>
      <c r="G14" s="10" t="str">
        <f ca="1">IFERROR(__xludf.DUMMYFUNCTION("VLOOKUP($B25,FILTER('Kode Gejala + G44.0'!$B$2:$M$172, 'Kode Gejala + G44.0'!$M$2:$M$172&lt;&gt;""""),12,FALSE)"),"G0,O,O,O,G31,XG66,G64")</f>
        <v>G0,O,O,O,G31,XG66,G64</v>
      </c>
    </row>
    <row r="15" spans="1:27" ht="26.4" x14ac:dyDescent="0.3">
      <c r="A15" s="18">
        <v>13</v>
      </c>
      <c r="B15" s="19" t="s">
        <v>61</v>
      </c>
      <c r="C15" s="20" t="s">
        <v>60</v>
      </c>
      <c r="D15" s="9" t="s">
        <v>6</v>
      </c>
      <c r="E15" s="10" t="str">
        <f ca="1">IFERROR(__xludf.DUMMYFUNCTION("VLOOKUP($B5,FILTER('Kode Gejala + G44.0'!$B$2:$K$172, 'Kode Gejala + G44.0'!$K$2:$K$172&lt;&gt;""""),10,FALSE)"),"migraine 2hari lalu;minum obat sembuh kambuh lagi;dari leher;-&gt; kepala nyeri;badan terasa nyeri")</f>
        <v>migraine 2hari lalu;minum obat sembuh kambuh lagi;dari leher;-&gt; kepala nyeri;badan terasa nyeri</v>
      </c>
      <c r="F15" s="10" t="str">
        <f ca="1">IFERROR(__xludf.DUMMYFUNCTION("VLOOKUP($B5,FILTER('Kode Gejala + G44.0'!$B$2:$L$172, 'Kode Gejala + G44.0'!$L$2:$L$172&lt;&gt;""""),11,FALSE)"),"migrain 2 hari lalu;minum obat sembuh kambuh lagi;dari leher;ke kepala nyeri;badan terasa nyeri")</f>
        <v>migrain 2 hari lalu;minum obat sembuh kambuh lagi;dari leher;ke kepala nyeri;badan terasa nyeri</v>
      </c>
      <c r="G15" s="10" t="str">
        <f ca="1">IFERROR(__xludf.DUMMYFUNCTION("VLOOKUP($B5,FILTER('Kode Gejala + G44.0'!$B$2:$M$172, 'Kode Gejala + G44.0'!$M$2:$M$172&lt;&gt;""""),12,FALSE)"),"G23,G34,G81,G0,O")</f>
        <v>G23,G34,G81,G0,O</v>
      </c>
    </row>
    <row r="16" spans="1:27" ht="26.4" x14ac:dyDescent="0.3">
      <c r="A16" s="18">
        <v>14</v>
      </c>
      <c r="B16" s="19" t="s">
        <v>42</v>
      </c>
      <c r="C16" s="20" t="s">
        <v>33</v>
      </c>
      <c r="D16" s="9" t="s">
        <v>6</v>
      </c>
      <c r="E16" s="10" t="str">
        <f ca="1">IFERROR(__xludf.DUMMYFUNCTION("VLOOKUP($B20,FILTER('Kode Gejala + G44.0'!$B$2:$K$172, 'Kode Gejala + G44.0'!$K$2:$K$172&lt;&gt;""""),10,FALSE)"),"mata kiri teras anyeri (=);kemerahan (-);penglihatan n;3 hr;pusing;muka perih (-);gatal (-);alergi obat (-)")</f>
        <v>mata kiri teras anyeri (=);kemerahan (-);penglihatan n;3 hr;pusing;muka perih (-);gatal (-);alergi obat (-)</v>
      </c>
      <c r="F16" s="10" t="str">
        <f ca="1">IFERROR(__xludf.DUMMYFUNCTION("VLOOKUP($B20,FILTER('Kode Gejala + G44.0'!$B$2:$L$172, 'Kode Gejala + G44.0'!$L$2:$L$172&lt;&gt;""""),11,FALSE)"),"mata kiri terasa nyeri;kemerahan nihil;penglihatan normal;3 hari;pusing;muka perih nihil;gatal nihil;alergi obat nihil")</f>
        <v>mata kiri terasa nyeri;kemerahan nihil;penglihatan normal;3 hari;pusing;muka perih nihil;gatal nihil;alergi obat nihil</v>
      </c>
      <c r="G16" s="10" t="str">
        <f ca="1">IFERROR(__xludf.DUMMYFUNCTION("VLOOKUP($B20,FILTER('Kode Gejala + G44.0'!$B$2:$M$172, 'Kode Gejala + G44.0'!$M$2:$M$172&lt;&gt;""""),12,FALSE)"),"G24,XG69,XG64,G52,G0,O,O,T")</f>
        <v>G24,XG69,XG64,G52,G0,O,O,T</v>
      </c>
    </row>
    <row r="17" spans="1:7" x14ac:dyDescent="0.3">
      <c r="A17" s="18">
        <v>15</v>
      </c>
      <c r="B17" s="19" t="s">
        <v>63</v>
      </c>
      <c r="C17" s="20" t="s">
        <v>62</v>
      </c>
      <c r="D17" s="9" t="s">
        <v>6</v>
      </c>
      <c r="E17" s="10" t="str">
        <f ca="1">IFERROR(__xludf.DUMMYFUNCTION("VLOOKUP($B3,FILTER('Kode Gejala + G44.0'!$B$2:$K$172, 'Kode Gejala + G44.0'!$K$2:$K$172&lt;&gt;""""),10,FALSE)"),"sakit kepala dari mata;-&gt; kepala kiri")</f>
        <v>sakit kepala dari mata;-&gt; kepala kiri</v>
      </c>
      <c r="F17" s="10" t="str">
        <f ca="1">IFERROR(__xludf.DUMMYFUNCTION("VLOOKUP($B3,FILTER('Kode Gejala + G44.0'!$B$2:$L$172, 'Kode Gejala + G44.0'!$L$2:$L$172&lt;&gt;""""),11,FALSE)"),"sakit kepala dari mata;ke kepala kiri")</f>
        <v>sakit kepala dari mata;ke kepala kiri</v>
      </c>
      <c r="G17" s="10" t="str">
        <f ca="1">IFERROR(__xludf.DUMMYFUNCTION("VLOOKUP($B3,FILTER('Kode Gejala + G44.0'!$B$2:$M$172, 'Kode Gejala + G44.0'!$M$2:$M$172&lt;&gt;""""),12,FALSE)"),"G82,G23")</f>
        <v>G82,G23</v>
      </c>
    </row>
    <row r="18" spans="1:7" ht="39.6" x14ac:dyDescent="0.3">
      <c r="A18" s="18">
        <v>16</v>
      </c>
      <c r="B18" s="19" t="s">
        <v>33</v>
      </c>
      <c r="C18" s="20" t="s">
        <v>23</v>
      </c>
      <c r="D18" s="8" t="s">
        <v>6</v>
      </c>
      <c r="E18" s="10" t="str">
        <f ca="1">IFERROR(__xludf.DUMMYFUNCTION("VLOOKUP($B26,FILTER('Kode Gejala + G44.0'!$B$2:$K$172, 'Kode Gejala + G44.0'!$K$2:$K$172&lt;&gt;""""),10,FALSE)"),"puisng;pusingnya sampai ke mata (+);cekot2 (+);mual kemarin pagi (+);bapil (-);nyeri ulu hati (+);kemarin muntah (+);+-2hari sudah minum ibuprofen")</f>
        <v>puisng;pusingnya sampai ke mata (+);cekot2 (+);mual kemarin pagi (+);bapil (-);nyeri ulu hati (+);kemarin muntah (+);+-2hari sudah minum ibuprofen</v>
      </c>
      <c r="F18" s="10" t="str">
        <f ca="1">IFERROR(__xludf.DUMMYFUNCTION("VLOOKUP($B26,FILTER('Kode Gejala + G44.0'!$B$2:$L$172, 'Kode Gejala + G44.0'!$L$2:$L$172&lt;&gt;""""),11,FALSE)"),"pusing;pusingnya sampai ke mata;cekot cekot;mual kemarin pagi;bapil nihil;nyeri ulu hati;kemarin muntah;kurang lebih 2 hari sudah minum ibuprofen")</f>
        <v>pusing;pusingnya sampai ke mata;cekot cekot;mual kemarin pagi;bapil nihil;nyeri ulu hati;kemarin muntah;kurang lebih 2 hari sudah minum ibuprofen</v>
      </c>
      <c r="G18" s="10" t="str">
        <f ca="1">IFERROR(__xludf.DUMMYFUNCTION("VLOOKUP($B26,FILTER('Kode Gejala + G44.0'!$B$2:$M$172, 'Kode Gejala + G44.0'!$M$2:$M$172&lt;&gt;""""),12,FALSE)"),"G0,G24,G11,G61,XG612,G93,G62,T")</f>
        <v>G0,G24,G11,G61,XG612,G93,G62,T</v>
      </c>
    </row>
    <row r="19" spans="1:7" ht="26.4" x14ac:dyDescent="0.3">
      <c r="A19" s="18">
        <v>17</v>
      </c>
      <c r="B19" s="19" t="s">
        <v>66</v>
      </c>
      <c r="C19" s="20" t="s">
        <v>58</v>
      </c>
      <c r="D19" s="9" t="s">
        <v>6</v>
      </c>
      <c r="E19" s="10" t="str">
        <f ca="1">IFERROR(__xludf.DUMMYFUNCTION("VLOOKUP($B6,FILTER('Kode Gejala + G44.0'!$B$2:$K$172, 'Kode Gejala + G44.0'!$K$2:$K$172&lt;&gt;""""),10,FALSE)"),"Pusing sedikit;mual+;muntah+;sdh berobat ke IGD RS PDHI")</f>
        <v>Pusing sedikit;mual+;muntah+;sdh berobat ke IGD RS PDHI</v>
      </c>
      <c r="F19" s="10" t="str">
        <f ca="1">IFERROR(__xludf.DUMMYFUNCTION("VLOOKUP($B6,FILTER('Kode Gejala + G44.0'!$B$2:$L$172, 'Kode Gejala + G44.0'!$L$2:$L$172&lt;&gt;""""),11,FALSE)"),"pusing sedikit;mual;muntah;sudah berobat ke IGD RS PDHI")</f>
        <v>pusing sedikit;mual;muntah;sudah berobat ke IGD RS PDHI</v>
      </c>
      <c r="G19" s="10" t="str">
        <f ca="1">IFERROR(__xludf.DUMMYFUNCTION("VLOOKUP($B6,FILTER('Kode Gejala + G44.0'!$B$2:$M$172, 'Kode Gejala + G44.0'!$M$2:$M$172&lt;&gt;""""),12,FALSE)"),"G41,G61,G62,O")</f>
        <v>G41,G61,G62,O</v>
      </c>
    </row>
    <row r="20" spans="1:7" x14ac:dyDescent="0.3">
      <c r="A20" s="18">
        <v>18</v>
      </c>
      <c r="B20" s="19" t="s">
        <v>57</v>
      </c>
      <c r="C20" s="20" t="s">
        <v>48</v>
      </c>
      <c r="D20" s="8" t="s">
        <v>6</v>
      </c>
      <c r="E20" s="10" t="str">
        <f ca="1">IFERROR(__xludf.DUMMYFUNCTION("VLOOKUP($B10,FILTER('Kode Gejala + G44.0'!$B$2:$K$172, 'Kode Gejala + G44.0'!$K$2:$K$172&lt;&gt;""""),10,FALSE)"),"Nyeri kepala;demam 1 hr;mual-;nyeri perut-;alergi obat-")</f>
        <v>Nyeri kepala;demam 1 hr;mual-;nyeri perut-;alergi obat-</v>
      </c>
      <c r="F20" s="10" t="str">
        <f ca="1">IFERROR(__xludf.DUMMYFUNCTION("VLOOKUP($B10,FILTER('Kode Gejala + G44.0'!$B$2:$L$172, 'Kode Gejala + G44.0'!$L$2:$L$172&lt;&gt;""""),11,FALSE)"),"nyeri kepala;demam 1 hari;mual nihil;nyeri perut nihil;alergi obat nihil")</f>
        <v>nyeri kepala;demam 1 hari;mual nihil;nyeri perut nihil;alergi obat nihil</v>
      </c>
      <c r="G20" s="10" t="str">
        <f ca="1">IFERROR(__xludf.DUMMYFUNCTION("VLOOKUP($B10,FILTER('Kode Gejala + G44.0'!$B$2:$M$172, 'Kode Gejala + G44.0'!$M$2:$M$172&lt;&gt;""""),12,FALSE)"),"G0,O,XG61,O,T")</f>
        <v>G0,O,XG61,O,T</v>
      </c>
    </row>
    <row r="21" spans="1:7" ht="52.8" x14ac:dyDescent="0.3">
      <c r="A21" s="18">
        <v>19</v>
      </c>
      <c r="B21" s="19" t="s">
        <v>30</v>
      </c>
      <c r="C21" s="20" t="s">
        <v>17</v>
      </c>
      <c r="D21" s="9" t="s">
        <v>6</v>
      </c>
      <c r="E21" s="10" t="str">
        <f ca="1">IFERROR(__xludf.DUMMYFUNCTION("VLOOKUP($B28,FILTER('Kode Gejala + G44.0'!$B$2:$K$172, 'Kode Gejala + G44.0'!$K$2:$K$172&lt;&gt;""""),10,FALSE)"),"konsultasi nyeri dada (+);sejak 2017 nyeri kepala (+);haid tidak lancar (+);alergi protein hewani (+);alergi obat ?;riwayat amenorhea sekunder sejak 2013;ketidakteraturan siklus")</f>
        <v>konsultasi nyeri dada (+);sejak 2017 nyeri kepala (+);haid tidak lancar (+);alergi protein hewani (+);alergi obat ?;riwayat amenorhea sekunder sejak 2013;ketidakteraturan siklus</v>
      </c>
      <c r="F21" s="10" t="str">
        <f ca="1">IFERROR(__xludf.DUMMYFUNCTION("VLOOKUP($B28,FILTER('Kode Gejala + G44.0'!$B$2:$L$172, 'Kode Gejala + G44.0'!$L$2:$L$172&lt;&gt;""""),11,FALSE)"),"konsultasi nyeri dada;sejak 2017 nyeri kepala;haid tidak lancar;alergi protein hewani;alergi obat;riwayat amenorhea sekunder sejak 2013;ketidakteraturan siklus")</f>
        <v>konsultasi nyeri dada;sejak 2017 nyeri kepala;haid tidak lancar;alergi protein hewani;alergi obat;riwayat amenorhea sekunder sejak 2013;ketidakteraturan siklus</v>
      </c>
      <c r="G21" s="10" t="str">
        <f ca="1">IFERROR(__xludf.DUMMYFUNCTION("VLOOKUP($B28,FILTER('Kode Gejala + G44.0'!$B$2:$M$172, 'Kode Gejala + G44.0'!$M$2:$M$172&lt;&gt;""""),12,FALSE)"),"O,G32,G92,O,O,O,G92")</f>
        <v>O,G32,G92,O,O,O,G92</v>
      </c>
    </row>
    <row r="22" spans="1:7" ht="26.4" x14ac:dyDescent="0.3">
      <c r="A22" s="18">
        <v>20</v>
      </c>
      <c r="B22" s="19" t="s">
        <v>54</v>
      </c>
      <c r="C22" s="20" t="s">
        <v>44</v>
      </c>
      <c r="D22" s="9" t="s">
        <v>6</v>
      </c>
      <c r="E22" s="10" t="str">
        <f ca="1">IFERROR(__xludf.DUMMYFUNCTION("VLOOKUP($B13,FILTER('Kode Gejala + G44.0'!$B$2:$K$172, 'Kode Gejala + G44.0'!$K$2:$K$172&lt;&gt;""""),10,FALSE)"),"pusing sebelah kiri;sejak kemaren;tengkuk bahu terasa kaku")</f>
        <v>pusing sebelah kiri;sejak kemaren;tengkuk bahu terasa kaku</v>
      </c>
      <c r="F22" s="10" t="str">
        <f ca="1">IFERROR(__xludf.DUMMYFUNCTION("VLOOKUP($B13,FILTER('Kode Gejala + G44.0'!$B$2:$L$172, 'Kode Gejala + G44.0'!$L$2:$L$172&lt;&gt;""""),11,FALSE)"),"pusing sebelah kiri;sejak kemarin;tengkuk bahu terasa kaku")</f>
        <v>pusing sebelah kiri;sejak kemarin;tengkuk bahu terasa kaku</v>
      </c>
      <c r="G22" s="10" t="str">
        <f ca="1">IFERROR(__xludf.DUMMYFUNCTION("VLOOKUP($B13,FILTER('Kode Gejala + G44.0'!$B$2:$M$172, 'Kode Gejala + G44.0'!$M$2:$M$172&lt;&gt;""""),12,FALSE)"),"G23,G52,G614")</f>
        <v>G23,G52,G614</v>
      </c>
    </row>
    <row r="23" spans="1:7" ht="39.6" x14ac:dyDescent="0.25">
      <c r="A23" s="18">
        <v>21</v>
      </c>
      <c r="B23" s="19" t="s">
        <v>9</v>
      </c>
      <c r="C23" s="19" t="s">
        <v>8</v>
      </c>
      <c r="D23" s="9" t="s">
        <v>10</v>
      </c>
      <c r="E23" s="10" t="str">
        <f ca="1">IFERROR(__xludf.DUMMYFUNCTION("VLOOKUP($B66,FILTER('Kode Gejala + G44.2'!$B$2:$K$229, 'Kode Gejala + G44.2'!$K$2:$K$229&lt;&gt;""""),10,FALSE)"),"Konsultasi kesehatan;Badan terasa kecapekan (-);Sering nyeri kepala (+);seperti berat Badan terasa lemes (+);Mual (-)")</f>
        <v>Konsultasi kesehatan;Badan terasa kecapekan (-);Sering nyeri kepala (+);seperti berat Badan terasa lemes (+);Mual (-)</v>
      </c>
      <c r="F23" s="15" t="str">
        <f ca="1">IFERROR(__xludf.DUMMYFUNCTION("VLOOKUP($B66,FILTER('Kode Gejala + G44.2'!$B$2:$L$229, 'Kode Gejala + G44.2'!$L$2:$L$229&lt;&gt;""""),11,FALSE)"),"Konsultasi kesehatan;Badan terasa kecapekan nihil;Sering nyeri kepala;seperti berat Badan terasa lemas;Mual nihil")</f>
        <v>Konsultasi kesehatan;Badan terasa kecapekan nihil;Sering nyeri kepala;seperti berat Badan terasa lemas;Mual nihil</v>
      </c>
      <c r="G23" s="10" t="str">
        <f ca="1">IFERROR(__xludf.DUMMYFUNCTION("VLOOKUP($B66,FILTER('Kode Gejala + G44.2'!$B$2:$M$229, 'Kode Gejala + G44.2'!$M$2:$M$229&lt;&gt;""""),12,FALSE)"),"T,O,G31,O,XG61")</f>
        <v>T,O,G31,O,XG61</v>
      </c>
    </row>
    <row r="24" spans="1:7" ht="39.6" x14ac:dyDescent="0.25">
      <c r="A24" s="18">
        <v>22</v>
      </c>
      <c r="B24" s="19" t="s">
        <v>36</v>
      </c>
      <c r="C24" s="19" t="s">
        <v>35</v>
      </c>
      <c r="D24" s="8" t="s">
        <v>10</v>
      </c>
      <c r="E24" s="10" t="str">
        <f ca="1">IFERROR(__xludf.DUMMYFUNCTION("VLOOKUP($B51,FILTER('Kode Gejala + G44.2'!$B$2:$K$229, 'Kode Gejala + G44.2'!$K$2:$K$229&lt;&gt;""""),10,FALSE)"),"Nyeri kepala belakang (+);Sejak hari minggu (+);Sudah minum paracetamol tapi tidak terlalu berkurang (+);Alergi obat (-);Riwayat asm lambung (+)")</f>
        <v>Nyeri kepala belakang (+);Sejak hari minggu (+);Sudah minum paracetamol tapi tidak terlalu berkurang (+);Alergi obat (-);Riwayat asm lambung (+)</v>
      </c>
      <c r="F24" s="15" t="str">
        <f ca="1">IFERROR(__xludf.DUMMYFUNCTION("VLOOKUP($B51,FILTER('Kode Gejala + G44.2'!$B$2:$L$229, 'Kode Gejala + G44.2'!$L$2:$L$229&lt;&gt;""""),11,FALSE)"),"Nyeri kepala belakang;Sejak hari minggu;Sudah minum paracetamol tapi tidak terlalu berkurang;Alergi obat nihil;Riwayat asam lambung")</f>
        <v>Nyeri kepala belakang;Sejak hari minggu;Sudah minum paracetamol tapi tidak terlalu berkurang;Alergi obat nihil;Riwayat asam lambung</v>
      </c>
      <c r="G24" s="10" t="str">
        <f ca="1">IFERROR(__xludf.DUMMYFUNCTION("VLOOKUP($B51,FILTER('Kode Gejala + G44.2'!$B$2:$M$229, 'Kode Gejala + G44.2'!$M$2:$M$229&lt;&gt;""""),12,FALSE)"),"G21,G52,T,T,G93")</f>
        <v>G21,G52,T,T,G93</v>
      </c>
    </row>
    <row r="25" spans="1:7" ht="26.4" x14ac:dyDescent="0.25">
      <c r="A25" s="18">
        <v>23</v>
      </c>
      <c r="B25" s="19" t="s">
        <v>11</v>
      </c>
      <c r="C25" s="19" t="s">
        <v>57</v>
      </c>
      <c r="D25" s="9" t="s">
        <v>10</v>
      </c>
      <c r="E25" s="10" t="str">
        <f ca="1">IFERROR(__xludf.DUMMYFUNCTION("VLOOKUP($B38,FILTER('Kode Gejala + G44.2'!$B$2:$K$229, 'Kode Gejala + G44.2'!$K$2:$K$229&lt;&gt;""""),10,FALSE)"),"Nyeri di tengkuk +-1minggu;Nyeri kepala berdenyut;+-1minggu;Perut kadang terasa tidak nyaman")</f>
        <v>Nyeri di tengkuk +-1minggu;Nyeri kepala berdenyut;+-1minggu;Perut kadang terasa tidak nyaman</v>
      </c>
      <c r="F25" s="15" t="str">
        <f ca="1">IFERROR(__xludf.DUMMYFUNCTION("VLOOKUP($B38,FILTER('Kode Gejala + G44.2'!$B$2:$L$229, 'Kode Gejala + G44.2'!$L$2:$L$229&lt;&gt;""""),11,FALSE)"),"Nyeri di tengkuk kurang lebih 1 minggu;Nyeri kepala berdenyut;kurang lebih 1 minggu;perut kadang terasa tidak nyaman")</f>
        <v>Nyeri di tengkuk kurang lebih 1 minggu;Nyeri kepala berdenyut;kurang lebih 1 minggu;perut kadang terasa tidak nyaman</v>
      </c>
      <c r="G25" s="10" t="str">
        <f ca="1">IFERROR(__xludf.DUMMYFUNCTION("VLOOKUP($B38,FILTER('Kode Gejala + G44.2'!$B$2:$M$229, 'Kode Gejala + G44.2'!$M$2:$M$229&lt;&gt;""""),12,FALSE)"),"G614,G11,G51,O")</f>
        <v>G614,G11,G51,O</v>
      </c>
    </row>
    <row r="26" spans="1:7" x14ac:dyDescent="0.25">
      <c r="A26" s="18">
        <v>24</v>
      </c>
      <c r="B26" s="19" t="s">
        <v>12</v>
      </c>
      <c r="C26" s="19" t="s">
        <v>11</v>
      </c>
      <c r="D26" s="8" t="s">
        <v>10</v>
      </c>
      <c r="E26" s="10" t="str">
        <f ca="1">IFERROR(__xludf.DUMMYFUNCTION("VLOOKUP($B65,FILTER('Kode Gejala + G44.2'!$B$2:$K$229, 'Kode Gejala + G44.2'!$K$2:$K$229&lt;&gt;""""),10,FALSE)"),"Nyeri kepala bagian belakang (+);Mual (+);Muntah (-)")</f>
        <v>Nyeri kepala bagian belakang (+);Mual (+);Muntah (-)</v>
      </c>
      <c r="F26" s="15" t="str">
        <f ca="1">IFERROR(__xludf.DUMMYFUNCTION("VLOOKUP($B65,FILTER('Kode Gejala + G44.2'!$B$2:$L$229, 'Kode Gejala + G44.2'!$L$2:$L$229&lt;&gt;""""),11,FALSE)"),"Nyeri kepala bagian belakang;Mual;Muntah nihil")</f>
        <v>Nyeri kepala bagian belakang;Mual;Muntah nihil</v>
      </c>
      <c r="G26" s="10" t="str">
        <f ca="1">IFERROR(__xludf.DUMMYFUNCTION("VLOOKUP($B65,FILTER('Kode Gejala + G44.2'!$B$2:$M$229, 'Kode Gejala + G44.2'!$M$2:$M$229&lt;&gt;""""),12,FALSE)"),"G21,G61,XG62")</f>
        <v>G21,G61,XG62</v>
      </c>
    </row>
    <row r="27" spans="1:7" ht="52.8" x14ac:dyDescent="0.25">
      <c r="A27" s="18">
        <v>25</v>
      </c>
      <c r="B27" s="19" t="s">
        <v>22</v>
      </c>
      <c r="C27" s="19" t="s">
        <v>21</v>
      </c>
      <c r="D27" s="9" t="s">
        <v>10</v>
      </c>
      <c r="E27" s="10" t="str">
        <f ca="1">IFERROR(__xludf.DUMMYFUNCTION("VLOOKUP($B60,FILTER('Kode Gejala + G44.2'!$B$2:$K$229, 'Kode Gejala + G44.2'!$K$2:$K$229&lt;&gt;""""),10,FALSE)"),"Nyeri kepala berdenyut (+);Badan lemes (+);Mual (+);Muntah (+);sulit BAB (+);Nyeri perut (+) +-3minggu;Demam (-);Surat Keterangan sakit (+);Alergi obat (-)")</f>
        <v>Nyeri kepala berdenyut (+);Badan lemes (+);Mual (+);Muntah (+);sulit BAB (+);Nyeri perut (+) +-3minggu;Demam (-);Surat Keterangan sakit (+);Alergi obat (-)</v>
      </c>
      <c r="F27" s="15" t="str">
        <f ca="1">IFERROR(__xludf.DUMMYFUNCTION("VLOOKUP($B60,FILTER('Kode Gejala + G44.2'!$B$2:$L$229, 'Kode Gejala + G44.2'!$L$2:$L$229&lt;&gt;""""),11,FALSE)"),"Nyeri kepala berdenyut;Badan lemes;Mual;Muntah;sulit BAB;Nyeri perut kurang lebih 3 minggu;Demam nihil;Surat Keterangan sakit;Alergi obat nihil")</f>
        <v>Nyeri kepala berdenyut;Badan lemes;Mual;Muntah;sulit BAB;Nyeri perut kurang lebih 3 minggu;Demam nihil;Surat Keterangan sakit;Alergi obat nihil</v>
      </c>
      <c r="G27" s="10" t="str">
        <f ca="1">IFERROR(__xludf.DUMMYFUNCTION("VLOOKUP($B60,FILTER('Kode Gejala + G44.2'!$B$2:$M$229, 'Kode Gejala + G44.2'!$M$2:$M$229&lt;&gt;""""),12,FALSE)"),"G11,O,G61,G62,O,O,O,T,T")</f>
        <v>G11,O,G61,G62,O,O,O,T,T</v>
      </c>
    </row>
    <row r="28" spans="1:7" ht="39.6" x14ac:dyDescent="0.25">
      <c r="A28" s="18">
        <v>26</v>
      </c>
      <c r="B28" s="19" t="s">
        <v>31</v>
      </c>
      <c r="C28" s="19" t="s">
        <v>30</v>
      </c>
      <c r="D28" s="9" t="s">
        <v>10</v>
      </c>
      <c r="E28" s="10" t="str">
        <f ca="1">IFERROR(__xludf.DUMMYFUNCTION("VLOOKUP($B55,FILTER('Kode Gejala + G44.2'!$B$2:$K$229, 'Kode Gejala + G44.2'!$K$2:$K$229&lt;&gt;""""),10,FALSE)"),"Konsultasi;Nyeri kepala 3hari yll;Mual (-);Riwayat kehujanan 3hari yll;Suah minum imboost, antalgin/paracetamol sudah enakan")</f>
        <v>Konsultasi;Nyeri kepala 3hari yll;Mual (-);Riwayat kehujanan 3hari yll;Suah minum imboost, antalgin/paracetamol sudah enakan</v>
      </c>
      <c r="F28" s="15" t="str">
        <f ca="1">IFERROR(__xludf.DUMMYFUNCTION("VLOOKUP($B55,FILTER('Kode Gejala + G44.2'!$B$2:$L$229, 'Kode Gejala + G44.2'!$L$2:$L$229&lt;&gt;""""),11,FALSE)"),"Konsultasi;Nyeri kepala 3 hari yang lalu;Mual nihil;Riwayat kehujanan 3 hari yang lalu;Sudah minum imboost, antalgin atau paracetamol sudah enakan")</f>
        <v>Konsultasi;Nyeri kepala 3 hari yang lalu;Mual nihil;Riwayat kehujanan 3 hari yang lalu;Sudah minum imboost, antalgin atau paracetamol sudah enakan</v>
      </c>
      <c r="G28" s="10" t="str">
        <f ca="1">IFERROR(__xludf.DUMMYFUNCTION("VLOOKUP($B55,FILTER('Kode Gejala + G44.2'!$B$2:$M$229, 'Kode Gejala + G44.2'!$M$2:$M$229&lt;&gt;""""),12,FALSE)"),"T,G52,XG61,T,T")</f>
        <v>T,G52,XG61,T,T</v>
      </c>
    </row>
    <row r="29" spans="1:7" ht="39.6" x14ac:dyDescent="0.25">
      <c r="A29" s="18">
        <v>27</v>
      </c>
      <c r="B29" s="19" t="s">
        <v>17</v>
      </c>
      <c r="C29" s="19" t="s">
        <v>60</v>
      </c>
      <c r="D29" s="9" t="s">
        <v>10</v>
      </c>
      <c r="E29" s="10" t="str">
        <f ca="1">IFERROR(__xludf.DUMMYFUNCTION("VLOOKUP($B35,FILTER('Kode Gejala + G44.2'!$B$2:$K$229, 'Kode Gejala + G44.2'!$K$2:$K$229&lt;&gt;""""),10,FALSE)"),"pusing cekot2 +;kadang batuk +;dahak-;tenggorokan gatal +;demam -;pilek -;sejak semlm ( kadang minum ceterizin );alergi obat -;haid mei , agst , tdk teratur")</f>
        <v>pusing cekot2 +;kadang batuk +;dahak-;tenggorokan gatal +;demam -;pilek -;sejak semlm ( kadang minum ceterizin );alergi obat -;haid mei , agst , tdk teratur</v>
      </c>
      <c r="F29" s="15" t="str">
        <f ca="1">IFERROR(__xludf.DUMMYFUNCTION("VLOOKUP($B35,FILTER('Kode Gejala + G44.2'!$B$2:$L$229, 'Kode Gejala + G44.2'!$L$2:$L$229&lt;&gt;""""),11,FALSE)"),"pusing cekot cekot;kadang batuk;dahak nihil;tenggorokan gatal;demam nihil;pilek nihil;sejak semalam kadang minum ceterizin;alergi obat nihil;haid mei, agst, tidak teratur")</f>
        <v>pusing cekot cekot;kadang batuk;dahak nihil;tenggorokan gatal;demam nihil;pilek nihil;sejak semalam kadang minum ceterizin;alergi obat nihil;haid mei, agst, tidak teratur</v>
      </c>
      <c r="G29" s="10" t="str">
        <f ca="1">IFERROR(__xludf.DUMMYFUNCTION("VLOOKUP($B35,FILTER('Kode Gejala + G44.2'!$B$2:$M$229, 'Kode Gejala + G44.2'!$M$2:$M$229&lt;&gt;""""),12,FALSE)"),"G11,O,O,O,O,XG612,G52,T,G92")</f>
        <v>G11,O,O,O,O,XG612,G52,T,G92</v>
      </c>
    </row>
    <row r="30" spans="1:7" ht="52.8" x14ac:dyDescent="0.25">
      <c r="A30" s="18">
        <v>28</v>
      </c>
      <c r="B30" s="19" t="s">
        <v>27</v>
      </c>
      <c r="C30" s="19" t="s">
        <v>26</v>
      </c>
      <c r="D30" s="9" t="s">
        <v>10</v>
      </c>
      <c r="E30" s="10" t="str">
        <f ca="1">IFERROR(__xludf.DUMMYFUNCTION("VLOOKUP($B57,FILTER('Kode Gejala + G44.2'!$B$2:$K$229, 'Kode Gejala + G44.2'!$K$2:$K$229&lt;&gt;""""),10,FALSE)"),"Badan terasa lemas (+);Tadi malam sulit tidur (+);Mata terasa berat (+);Nyeri kepala (+);Mual (+);Muntah (-);Diare (-);RPD HT minum obat amlodipin 5mg stressor -&gt; disertasi")</f>
        <v>Badan terasa lemas (+);Tadi malam sulit tidur (+);Mata terasa berat (+);Nyeri kepala (+);Mual (+);Muntah (-);Diare (-);RPD HT minum obat amlodipin 5mg stressor -&gt; disertasi</v>
      </c>
      <c r="F30" s="15" t="str">
        <f ca="1">IFERROR(__xludf.DUMMYFUNCTION("VLOOKUP($B57,FILTER('Kode Gejala + G44.2'!$B$2:$L$229, 'Kode Gejala + G44.2'!$L$2:$L$229&lt;&gt;""""),11,FALSE)"),"Badan terasa lemas;Tadi malam sulit tidur;Mata terasa berat;Nyeri kepala;Mual;Muntah nihil;Diare nihil;RPD HT minum obat amlodipin 5 mg stressor ke disertasi")</f>
        <v>Badan terasa lemas;Tadi malam sulit tidur;Mata terasa berat;Nyeri kepala;Mual;Muntah nihil;Diare nihil;RPD HT minum obat amlodipin 5 mg stressor ke disertasi</v>
      </c>
      <c r="G30" s="10" t="str">
        <f ca="1">IFERROR(__xludf.DUMMYFUNCTION("VLOOKUP($B57,FILTER('Kode Gejala + G44.2'!$B$2:$M$229, 'Kode Gejala + G44.2'!$M$2:$M$229&lt;&gt;""""),12,FALSE)"),"O,G68,O,G0,G61,XG62,O,G92")</f>
        <v>O,G68,O,G0,G61,XG62,O,G92</v>
      </c>
    </row>
    <row r="31" spans="1:7" ht="52.8" x14ac:dyDescent="0.25">
      <c r="A31" s="18">
        <v>29</v>
      </c>
      <c r="B31" s="19" t="s">
        <v>14</v>
      </c>
      <c r="C31" s="19" t="s">
        <v>13</v>
      </c>
      <c r="D31" s="9" t="s">
        <v>10</v>
      </c>
      <c r="E31" s="10" t="str">
        <f ca="1">IFERROR(__xludf.DUMMYFUNCTION("VLOOKUP($B64,FILTER('Kode Gejala + G44.2'!$B$2:$K$229, 'Kode Gejala + G44.2'!$K$2:$K$229&lt;&gt;""""),10,FALSE)"),"Kepala terasa nyeri dan tengkuk (+);Perut nyeri (+);Mual (+);Muntah (-);Demam dari semalam (+);batuk (-);Pilek (-);Nyeri tenggorokan (-);Sesek (-);+-2hari sudah minum poldanmix")</f>
        <v>Kepala terasa nyeri dan tengkuk (+);Perut nyeri (+);Mual (+);Muntah (-);Demam dari semalam (+);batuk (-);Pilek (-);Nyeri tenggorokan (-);Sesek (-);+-2hari sudah minum poldanmix</v>
      </c>
      <c r="F31" s="15" t="str">
        <f ca="1">IFERROR(__xludf.DUMMYFUNCTION("VLOOKUP($B64,FILTER('Kode Gejala + G44.2'!$B$2:$L$229, 'Kode Gejala + G44.2'!$L$2:$L$229&lt;&gt;""""),11,FALSE)"),"Kepala terasa nyeri dan tengkuk;Perut nyeri;Mual;Muntah nihil;Demam dari semalam;batuk nihil;Pilek nihil;Nyeri tenggorokan nihil;Sesek nihil;kurang lebih 2 hari sudah minum poldanmix")</f>
        <v>Kepala terasa nyeri dan tengkuk;Perut nyeri;Mual;Muntah nihil;Demam dari semalam;batuk nihil;Pilek nihil;Nyeri tenggorokan nihil;Sesek nihil;kurang lebih 2 hari sudah minum poldanmix</v>
      </c>
      <c r="G31" s="10" t="str">
        <f ca="1">IFERROR(__xludf.DUMMYFUNCTION("VLOOKUP($B64,FILTER('Kode Gejala + G44.2'!$B$2:$M$229, 'Kode Gejala + G44.2'!$M$2:$M$229&lt;&gt;""""),12,FALSE)"),"G14,G93,G61,XG62,O,O,XG612,O,O,T")</f>
        <v>G14,G93,G61,XG62,O,O,XG612,O,O,T</v>
      </c>
    </row>
    <row r="32" spans="1:7" ht="52.8" x14ac:dyDescent="0.25">
      <c r="A32" s="18">
        <v>30</v>
      </c>
      <c r="B32" s="19" t="s">
        <v>15</v>
      </c>
      <c r="C32" s="19" t="s">
        <v>59</v>
      </c>
      <c r="D32" s="9" t="s">
        <v>10</v>
      </c>
      <c r="E32" s="10" t="str">
        <f ca="1">IFERROR(__xludf.DUMMYFUNCTION("VLOOKUP($B36,FILTER('Kode Gejala + G44.2'!$B$2:$K$229, 'Kode Gejala + G44.2'!$K$2:$K$229&lt;&gt;""""),10,FALSE)"),"bagian mulut terasa ketarik2 (+);nyeri di kepala bagian atas kiri (+);RPD (nyeri tulang belakang);mulut terasa pahit (+);kaki kanan/kiri sering terasa kram (+);mual (-);muntah (-)")</f>
        <v>bagian mulut terasa ketarik2 (+);nyeri di kepala bagian atas kiri (+);RPD (nyeri tulang belakang);mulut terasa pahit (+);kaki kanan/kiri sering terasa kram (+);mual (-);muntah (-)</v>
      </c>
      <c r="F32" s="15" t="str">
        <f ca="1">IFERROR(__xludf.DUMMYFUNCTION("VLOOKUP($B36,FILTER('Kode Gejala + G44.2'!$B$2:$L$229, 'Kode Gejala + G44.2'!$L$2:$L$229&lt;&gt;""""),11,FALSE)"),"bagian mulut terasa ketarik tarik;nyeri di kepala bagian atas kiri;RPD nyeri tulang belakang;mulut terasa pahit;kaki kanan atau kiri sering terasa kram;mual nihil;muntah nihil")</f>
        <v>bagian mulut terasa ketarik tarik;nyeri di kepala bagian atas kiri;RPD nyeri tulang belakang;mulut terasa pahit;kaki kanan atau kiri sering terasa kram;mual nihil;muntah nihil</v>
      </c>
      <c r="G32" s="10" t="str">
        <f ca="1">IFERROR(__xludf.DUMMYFUNCTION("VLOOKUP($B36,FILTER('Kode Gejala + G44.2'!$B$2:$M$229, 'Kode Gejala + G44.2'!$M$2:$M$229&lt;&gt;""""),12,FALSE)"),"O,G23,O,O,O,XG61,XG62")</f>
        <v>O,G23,O,O,O,XG61,XG62</v>
      </c>
    </row>
    <row r="33" spans="1:7" ht="39.6" x14ac:dyDescent="0.25">
      <c r="A33" s="18">
        <v>31</v>
      </c>
      <c r="B33" s="19" t="s">
        <v>13</v>
      </c>
      <c r="C33" s="19" t="s">
        <v>58</v>
      </c>
      <c r="D33" s="8" t="s">
        <v>10</v>
      </c>
      <c r="E33" s="10" t="str">
        <f ca="1">IFERROR(__xludf.DUMMYFUNCTION("VLOOKUP($B37,FILTER('Kode Gejala + G44.2'!$B$2:$K$229, 'Kode Gejala + G44.2'!$K$2:$K$229&lt;&gt;""""),10,FALSE)"),"Nyeri tengkuk sdh berlangsung 3 bln;nyeri kepala berdenyut;kadang2 berputar;Mual (-);demam (-);badan terasa pegal2;batuk (-);pilek (-);Minta ijin surat sakit")</f>
        <v>Nyeri tengkuk sdh berlangsung 3 bln;nyeri kepala berdenyut;kadang2 berputar;Mual (-);demam (-);badan terasa pegal2;batuk (-);pilek (-);Minta ijin surat sakit</v>
      </c>
      <c r="F33" s="15" t="str">
        <f ca="1">IFERROR(__xludf.DUMMYFUNCTION("VLOOKUP($B37,FILTER('Kode Gejala + G44.2'!$B$2:$L$229, 'Kode Gejala + G44.2'!$L$2:$L$229&lt;&gt;""""),11,FALSE)"),"nyeri tengkuk sudah berlangsung 3 bulan;nyeri kepala berdenyut;kadang kadang berputar;mual nihil;demam nihil;badan terasa pegal pegal;batuk nihil;pilek nihil;minta ijin surat sakit")</f>
        <v>nyeri tengkuk sudah berlangsung 3 bulan;nyeri kepala berdenyut;kadang kadang berputar;mual nihil;demam nihil;badan terasa pegal pegal;batuk nihil;pilek nihil;minta ijin surat sakit</v>
      </c>
      <c r="G33" s="10" t="str">
        <f ca="1">IFERROR(__xludf.DUMMYFUNCTION("VLOOKUP($B37,FILTER('Kode Gejala + G44.2'!$B$2:$M$229, 'Kode Gejala + G44.2'!$M$2:$M$229&lt;&gt;""""),12,FALSE)"),"G614,G11,O,XG61,O,O,O,XG612,T")</f>
        <v>G614,G11,O,XG61,O,O,O,XG612,T</v>
      </c>
    </row>
    <row r="34" spans="1:7" ht="39.6" x14ac:dyDescent="0.25">
      <c r="A34" s="18">
        <v>32</v>
      </c>
      <c r="B34" s="19" t="s">
        <v>51</v>
      </c>
      <c r="C34" s="19" t="s">
        <v>50</v>
      </c>
      <c r="D34" s="8" t="s">
        <v>10</v>
      </c>
      <c r="E34" s="10" t="str">
        <f ca="1">IFERROR(__xludf.DUMMYFUNCTION("VLOOKUP($B43,FILTER('Kode Gejala + G44.2'!$B$2:$K$229, 'Kode Gejala + G44.2'!$K$2:$K$229&lt;&gt;""""),10,FALSE)"),"Daun telinga kanan terasa gatal (+);nyeri (-);gatal hilang timbul (+);cairan keluar (-);+-2-3bulan (+);alergi obat (-);tengkuk terasa kaku;nyeri menjalar sampai ke kepala")</f>
        <v>Daun telinga kanan terasa gatal (+);nyeri (-);gatal hilang timbul (+);cairan keluar (-);+-2-3bulan (+);alergi obat (-);tengkuk terasa kaku;nyeri menjalar sampai ke kepala</v>
      </c>
      <c r="F34" s="15" t="str">
        <f ca="1">IFERROR(__xludf.DUMMYFUNCTION("VLOOKUP($B43,FILTER('Kode Gejala + G44.2'!$B$2:$L$229, 'Kode Gejala + G44.2'!$L$2:$L$229&lt;&gt;""""),11,FALSE)"),"daun telinga kanan terasa gatal;nyeri nihil;gatal hilang timbul;cairan keluar nihil;kurang lebih 2 sampai 3 bulan;alergi obat nihil;tengkuk terasa kaku;nyeri menjalar sampai ke kepala")</f>
        <v>daun telinga kanan terasa gatal;nyeri nihil;gatal hilang timbul;cairan keluar nihil;kurang lebih 2 sampai 3 bulan;alergi obat nihil;tengkuk terasa kaku;nyeri menjalar sampai ke kepala</v>
      </c>
      <c r="G34" s="10" t="str">
        <f ca="1">IFERROR(__xludf.DUMMYFUNCTION("VLOOKUP($B43,FILTER('Kode Gejala + G44.2'!$B$2:$M$229, 'Kode Gejala + G44.2'!$M$2:$M$229&lt;&gt;""""),12,FALSE)"),"O,O,O,O,O,T,G614,G82")</f>
        <v>O,O,O,O,O,T,G614,G82</v>
      </c>
    </row>
    <row r="35" spans="1:7" ht="26.4" x14ac:dyDescent="0.25">
      <c r="A35" s="18">
        <v>33</v>
      </c>
      <c r="B35" s="19" t="s">
        <v>43</v>
      </c>
      <c r="C35" s="19" t="s">
        <v>42</v>
      </c>
      <c r="D35" s="9" t="s">
        <v>10</v>
      </c>
      <c r="E35" s="10" t="str">
        <f ca="1">IFERROR(__xludf.DUMMYFUNCTION("VLOOKUP($B47,FILTER('Kode Gejala + G44.2'!$B$2:$K$229, 'Kode Gejala + G44.2'!$K$2:$K$229&lt;&gt;""""),10,FALSE)"),"Kepala terasa pusing (+);perut mual (+);muntah (-);demam (-);batuk (-) +-2hari")</f>
        <v>Kepala terasa pusing (+);perut mual (+);muntah (-);demam (-);batuk (-) +-2hari</v>
      </c>
      <c r="F35" s="15" t="str">
        <f ca="1">IFERROR(__xludf.DUMMYFUNCTION("VLOOKUP($B47,FILTER('Kode Gejala + G44.2'!$B$2:$L$229, 'Kode Gejala + G44.2'!$L$2:$L$229&lt;&gt;""""),11,FALSE)"),"Kepala terasa pusing;perut mual;muntah nihil;demam nihil;batuk nihil kurang lebih 2 hari")</f>
        <v>Kepala terasa pusing;perut mual;muntah nihil;demam nihil;batuk nihil kurang lebih 2 hari</v>
      </c>
      <c r="G35" s="10" t="str">
        <f ca="1">IFERROR(__xludf.DUMMYFUNCTION("VLOOKUP($B47,FILTER('Kode Gejala + G44.2'!$B$2:$M$229, 'Kode Gejala + G44.2'!$M$2:$M$229&lt;&gt;""""),12,FALSE)"),"G0,G61,XG62,O,O")</f>
        <v>G0,G61,XG62,O,O</v>
      </c>
    </row>
    <row r="36" spans="1:7" ht="39.6" x14ac:dyDescent="0.25">
      <c r="A36" s="18">
        <v>34</v>
      </c>
      <c r="B36" s="19" t="s">
        <v>53</v>
      </c>
      <c r="C36" s="19" t="s">
        <v>52</v>
      </c>
      <c r="D36" s="9" t="s">
        <v>10</v>
      </c>
      <c r="E36" s="10" t="str">
        <f ca="1">IFERROR(__xludf.DUMMYFUNCTION("VLOOKUP($B42,FILTER('Kode Gejala + G44.2'!$B$2:$K$229, 'Kode Gejala + G44.2'!$K$2:$K$229&lt;&gt;""""),10,FALSE)"),"sabtu siang mulai demam batuk (-);pilek (-);nyeri tenggorokan (-);sesek (-);sariawan (+);pusing (+);mual(-);sudah minum pct, terakhir minum semalam;alergi obat (-)")</f>
        <v>sabtu siang mulai demam batuk (-);pilek (-);nyeri tenggorokan (-);sesek (-);sariawan (+);pusing (+);mual(-);sudah minum pct, terakhir minum semalam;alergi obat (-)</v>
      </c>
      <c r="F36" s="15" t="str">
        <f ca="1">IFERROR(__xludf.DUMMYFUNCTION("VLOOKUP($B42,FILTER('Kode Gejala + G44.2'!$B$2:$L$229, 'Kode Gejala + G44.2'!$L$2:$L$229&lt;&gt;""""),11,FALSE)"),"sabtu siang mulai demam batuk nihil;pilek nihil;nyeri tenggorokan nihil;sesak nihil;sariawan;pusing;mual nihil;sudah minum pct, terakhir minum semalam;alergi obat nihil")</f>
        <v>sabtu siang mulai demam batuk nihil;pilek nihil;nyeri tenggorokan nihil;sesak nihil;sariawan;pusing;mual nihil;sudah minum pct, terakhir minum semalam;alergi obat nihil</v>
      </c>
      <c r="G36" s="10" t="str">
        <f ca="1">IFERROR(__xludf.DUMMYFUNCTION("VLOOKUP($B42,FILTER('Kode Gejala + G44.2'!$B$2:$M$229, 'Kode Gejala + G44.2'!$M$2:$M$229&lt;&gt;""""),12,FALSE)"),"O,XG612,O,O,O,G0,XG61,T,T")</f>
        <v>O,XG612,O,O,O,G0,XG61,T,T</v>
      </c>
    </row>
    <row r="37" spans="1:7" ht="52.8" x14ac:dyDescent="0.25">
      <c r="A37" s="18">
        <v>35</v>
      </c>
      <c r="B37" s="19" t="s">
        <v>24</v>
      </c>
      <c r="C37" s="19" t="s">
        <v>23</v>
      </c>
      <c r="D37" s="8" t="s">
        <v>10</v>
      </c>
      <c r="E37" s="10" t="str">
        <f ca="1">IFERROR(__xludf.DUMMYFUNCTION("VLOOKUP($B59,FILTER('Kode Gejala + G44.2'!$B$2:$K$229, 'Kode Gejala + G44.2'!$K$2:$K$229&lt;&gt;""""),10,FALSE)"),"Tengkuk terasa kaku (+);Pusing hilang timbul (+);Lemes (+);batuk (+);Dahak (+);batuk kadang2 Mual (-);Perut terasa tidak nyaman (+);riwayat minum kopi +-5hari;sudah minum PCT")</f>
        <v>Tengkuk terasa kaku (+);Pusing hilang timbul (+);Lemes (+);batuk (+);Dahak (+);batuk kadang2 Mual (-);Perut terasa tidak nyaman (+);riwayat minum kopi +-5hari;sudah minum PCT</v>
      </c>
      <c r="F37" s="15" t="str">
        <f ca="1">IFERROR(__xludf.DUMMYFUNCTION("VLOOKUP($B59,FILTER('Kode Gejala + G44.2'!$B$2:$L$229, 'Kode Gejala + G44.2'!$L$2:$L$229&lt;&gt;""""),11,FALSE)"),"Tengkuk terasa kaku;Pusing hilang timbul;Lemes;batuk;Dahak;batuk kadang kadang Mual nihil;Perut terasa tidak nyaman;riwayat minum kopi kurang lebih 5 hari;sudah minum PCT")</f>
        <v>Tengkuk terasa kaku;Pusing hilang timbul;Lemes;batuk;Dahak;batuk kadang kadang Mual nihil;Perut terasa tidak nyaman;riwayat minum kopi kurang lebih 5 hari;sudah minum PCT</v>
      </c>
      <c r="G37" s="10" t="str">
        <f ca="1">IFERROR(__xludf.DUMMYFUNCTION("VLOOKUP($B59,FILTER('Kode Gejala + G44.2'!$B$2:$M$229, 'Kode Gejala + G44.2'!$M$2:$M$229&lt;&gt;""""),12,FALSE)"),"G614,G31,O,O,O,XG61,O,T,T")</f>
        <v>G614,G31,O,O,O,XG61,O,T,T</v>
      </c>
    </row>
    <row r="38" spans="1:7" ht="26.4" x14ac:dyDescent="0.25">
      <c r="A38" s="18">
        <v>36</v>
      </c>
      <c r="B38" s="19" t="s">
        <v>29</v>
      </c>
      <c r="C38" s="19" t="s">
        <v>28</v>
      </c>
      <c r="D38" s="8" t="s">
        <v>10</v>
      </c>
      <c r="E38" s="10" t="str">
        <f ca="1">IFERROR(__xludf.DUMMYFUNCTION("VLOOKUP($B56,FILTER('Kode Gejala + G44.2'!$B$2:$K$229, 'Kode Gejala + G44.2'!$K$2:$K$229&lt;&gt;""""),10,FALSE)"),"nyeri kepala;sering keringat dingin;kepala terasa terikat;kembung;mual (+)")</f>
        <v>nyeri kepala;sering keringat dingin;kepala terasa terikat;kembung;mual (+)</v>
      </c>
      <c r="F38" s="15" t="str">
        <f ca="1">IFERROR(__xludf.DUMMYFUNCTION("VLOOKUP($B56,FILTER('Kode Gejala + G44.2'!$B$2:$L$229, 'Kode Gejala + G44.2'!$L$2:$L$229&lt;&gt;""""),11,FALSE)"),"nyeri kepala;sering keringat dingin;kepala terasa terikat;kembung;mual")</f>
        <v>nyeri kepala;sering keringat dingin;kepala terasa terikat;kembung;mual</v>
      </c>
      <c r="G38" s="10" t="str">
        <f ca="1">IFERROR(__xludf.DUMMYFUNCTION("VLOOKUP($B56,FILTER('Kode Gejala + G44.2'!$B$2:$M$229, 'Kode Gejala + G44.2'!$M$2:$M$229&lt;&gt;""""),12,FALSE)"),"G0,O,G15,G93,G61")</f>
        <v>G0,O,G15,G93,G61</v>
      </c>
    </row>
    <row r="39" spans="1:7" ht="26.4" x14ac:dyDescent="0.25">
      <c r="A39" s="18">
        <v>37</v>
      </c>
      <c r="B39" s="19" t="s">
        <v>39</v>
      </c>
      <c r="C39" s="19" t="s">
        <v>38</v>
      </c>
      <c r="D39" s="9" t="s">
        <v>10</v>
      </c>
      <c r="E39" s="10" t="str">
        <f ca="1">IFERROR(__xludf.DUMMYFUNCTION("VLOOKUP($B49,FILTER('Kode Gejala + G44.2'!$B$2:$K$229, 'Kode Gejala + G44.2'!$K$2:$K$229&lt;&gt;""""),10,FALSE)"),"Demam +-2hari;Meriang (+);Nyeri kepala (+);Gigi Ngilu (+);Batuk;Pilek (+);Riwayat Asam lambung (+)")</f>
        <v>Demam +-2hari;Meriang (+);Nyeri kepala (+);Gigi Ngilu (+);Batuk;Pilek (+);Riwayat Asam lambung (+)</v>
      </c>
      <c r="F39" s="15" t="str">
        <f ca="1">IFERROR(__xludf.DUMMYFUNCTION("VLOOKUP($B49,FILTER('Kode Gejala + G44.2'!$B$2:$L$229, 'Kode Gejala + G44.2'!$L$2:$L$229&lt;&gt;""""),11,FALSE)"),"Demam kurang lebih 2 hari;Meriang;Nyeri kepala;Gigi Ngilu;Batuk;Pilek;Riwayat Asam lambung")</f>
        <v>Demam kurang lebih 2 hari;Meriang;Nyeri kepala;Gigi Ngilu;Batuk;Pilek;Riwayat Asam lambung</v>
      </c>
      <c r="G39" s="10" t="str">
        <f ca="1">IFERROR(__xludf.DUMMYFUNCTION("VLOOKUP($B49,FILTER('Kode Gejala + G44.2'!$B$2:$M$229, 'Kode Gejala + G44.2'!$M$2:$M$229&lt;&gt;""""),12,FALSE)"),"O,O,G0,O,O,G612,G93")</f>
        <v>O,O,G0,O,O,G612,G93</v>
      </c>
    </row>
    <row r="40" spans="1:7" ht="26.4" x14ac:dyDescent="0.25">
      <c r="A40" s="18">
        <v>38</v>
      </c>
      <c r="B40" s="19" t="s">
        <v>16</v>
      </c>
      <c r="C40" s="19" t="s">
        <v>15</v>
      </c>
      <c r="D40" s="9" t="s">
        <v>10</v>
      </c>
      <c r="E40" s="10" t="str">
        <f ca="1">IFERROR(__xludf.DUMMYFUNCTION("VLOOKUP($B63,FILTER('Kode Gejala + G44.2'!$B$2:$K$229, 'Kode Gejala + G44.2'!$K$2:$K$229&lt;&gt;""""),10,FALSE)"),"nyeri kepala sperti terikat;disertai mual;kadang muntah;dan perut perih")</f>
        <v>nyeri kepala sperti terikat;disertai mual;kadang muntah;dan perut perih</v>
      </c>
      <c r="F40" s="15" t="str">
        <f ca="1">IFERROR(__xludf.DUMMYFUNCTION("VLOOKUP($B63,FILTER('Kode Gejala + G44.2'!$B$2:$L$229, 'Kode Gejala + G44.2'!$L$2:$L$229&lt;&gt;""""),11,FALSE)"),"nyeri kepala seperti terikat;disertai mual;kadang muntah;dan perut perih")</f>
        <v>nyeri kepala seperti terikat;disertai mual;kadang muntah;dan perut perih</v>
      </c>
      <c r="G40" s="10" t="str">
        <f ca="1">IFERROR(__xludf.DUMMYFUNCTION("VLOOKUP($B63,FILTER('Kode Gejala + G44.2'!$B$2:$M$229, 'Kode Gejala + G44.2'!$M$2:$M$229&lt;&gt;""""),12,FALSE)"),"G15,G61,G62,O")</f>
        <v>G15,G61,G62,O</v>
      </c>
    </row>
    <row r="41" spans="1:7" ht="26.4" x14ac:dyDescent="0.25">
      <c r="A41" s="18">
        <v>39</v>
      </c>
      <c r="B41" s="19" t="s">
        <v>18</v>
      </c>
      <c r="C41" s="19" t="s">
        <v>17</v>
      </c>
      <c r="D41" s="8" t="s">
        <v>10</v>
      </c>
      <c r="E41" s="10" t="str">
        <f ca="1">IFERROR(__xludf.DUMMYFUNCTION("VLOOKUP($B62,FILTER('Kode Gejala + G44.2'!$B$2:$K$229, 'Kode Gejala + G44.2'!$K$2:$K$229&lt;&gt;""""),10,FALSE)"),"Nyeri kepala sebelah;+-1hari yang lalu;Mual (+);Muntah (-);Nyeri perut bagian bawah (+)")</f>
        <v>Nyeri kepala sebelah;+-1hari yang lalu;Mual (+);Muntah (-);Nyeri perut bagian bawah (+)</v>
      </c>
      <c r="F41" s="15" t="str">
        <f ca="1">IFERROR(__xludf.DUMMYFUNCTION("VLOOKUP($B62,FILTER('Kode Gejala + G44.2'!$B$2:$L$229, 'Kode Gejala + G44.2'!$L$2:$L$229&lt;&gt;""""),11,FALSE)"),"Nyeri kepala sebelah;kurang lebih 1 hari yang lalu;Mual;Muntah nihil;Nyeri perut bagian bawah")</f>
        <v>Nyeri kepala sebelah;kurang lebih 1 hari yang lalu;Mual;Muntah nihil;Nyeri perut bagian bawah</v>
      </c>
      <c r="G41" s="10" t="str">
        <f ca="1">IFERROR(__xludf.DUMMYFUNCTION("VLOOKUP($B62,FILTER('Kode Gejala + G44.2'!$B$2:$M$229, 'Kode Gejala + G44.2'!$M$2:$M$229&lt;&gt;""""),12,FALSE)"),"G23,G52,G61,XG62,O")</f>
        <v>G23,G52,G61,XG62,O</v>
      </c>
    </row>
    <row r="42" spans="1:7" ht="39.6" x14ac:dyDescent="0.25">
      <c r="A42" s="18">
        <v>40</v>
      </c>
      <c r="B42" s="19" t="s">
        <v>20</v>
      </c>
      <c r="C42" s="19" t="s">
        <v>19</v>
      </c>
      <c r="D42" s="9" t="s">
        <v>10</v>
      </c>
      <c r="E42" s="10" t="str">
        <f ca="1">IFERROR(__xludf.DUMMYFUNCTION("VLOOKUP($B61,FILTER('Kode Gejala + G44.2'!$B$2:$K$229, 'Kode Gejala + G44.2'!$K$2:$K$229&lt;&gt;""""),10,FALSE)"),"kepala terasa berat;nggliyer dan terasa cekot2 (+);sejak tadi pagi (+);mual (+);muntah (-);leher cengeng (+);riwayat GERD")</f>
        <v>kepala terasa berat;nggliyer dan terasa cekot2 (+);sejak tadi pagi (+);mual (+);muntah (-);leher cengeng (+);riwayat GERD</v>
      </c>
      <c r="F42" s="15" t="str">
        <f ca="1">IFERROR(__xludf.DUMMYFUNCTION("VLOOKUP($B61,FILTER('Kode Gejala + G44.2'!$B$2:$L$229, 'Kode Gejala + G44.2'!$L$2:$L$229&lt;&gt;""""),11,FALSE)"),"kepala terasa berat;nggliyer dan terasa cekot cekot;sejak tadi pagi;mual;muntah nihil;leher cengeng;riwayat GERD")</f>
        <v>kepala terasa berat;nggliyer dan terasa cekot cekot;sejak tadi pagi;mual;muntah nihil;leher cengeng;riwayat GERD</v>
      </c>
      <c r="G42" s="10" t="str">
        <f ca="1">IFERROR(__xludf.DUMMYFUNCTION("VLOOKUP($B61,FILTER('Kode Gejala + G44.2'!$B$2:$M$229, 'Kode Gejala + G44.2'!$M$2:$M$229&lt;&gt;""""),12,FALSE)"),"G13,G11,G52,G61,XG62,G614,G93")</f>
        <v>G13,G11,G52,G61,XG62,G614,G93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81722-7B3C-4E16-ADFB-CA3A66898CB8}">
  <dimension ref="A1:G26"/>
  <sheetViews>
    <sheetView tabSelected="1" workbookViewId="0">
      <selection activeCell="K6" sqref="K6"/>
    </sheetView>
  </sheetViews>
  <sheetFormatPr defaultColWidth="9.109375" defaultRowHeight="13.2" x14ac:dyDescent="0.3"/>
  <cols>
    <col min="1" max="1" width="5.5546875" style="2" customWidth="1"/>
    <col min="2" max="2" width="7.6640625" style="2" customWidth="1"/>
    <col min="3" max="3" width="9" style="2" customWidth="1"/>
    <col min="4" max="4" width="9.109375" style="2"/>
    <col min="5" max="5" width="35.6640625" style="3" customWidth="1"/>
    <col min="6" max="6" width="41" style="3" customWidth="1"/>
    <col min="7" max="7" width="33" style="2" customWidth="1"/>
    <col min="8" max="16384" width="9.109375" style="3"/>
  </cols>
  <sheetData>
    <row r="1" spans="1:7" x14ac:dyDescent="0.3">
      <c r="A1" s="4" t="s">
        <v>0</v>
      </c>
      <c r="B1" s="4" t="s">
        <v>2</v>
      </c>
      <c r="C1" s="4" t="s">
        <v>3</v>
      </c>
      <c r="D1" s="4" t="s">
        <v>1</v>
      </c>
      <c r="E1" s="4" t="s">
        <v>4</v>
      </c>
      <c r="F1" s="4" t="s">
        <v>5</v>
      </c>
      <c r="G1" s="4" t="s">
        <v>7</v>
      </c>
    </row>
    <row r="2" spans="1:7" ht="26.4" x14ac:dyDescent="0.3">
      <c r="A2" s="5">
        <v>1</v>
      </c>
      <c r="B2" s="19" t="s">
        <v>60</v>
      </c>
      <c r="C2" s="20" t="s">
        <v>55</v>
      </c>
      <c r="D2" s="19" t="s">
        <v>6</v>
      </c>
      <c r="E2" s="25" t="str">
        <f ca="1">IFERROR(__xludf.DUMMYFUNCTION("VLOOKUP($B7,FILTER('Kode Gejala + G44.0'!$B$2:$K$172, 'Kode Gejala + G44.0'!$K$2:$K$172&lt;&gt;""""),10,FALSE)"),"KOnsultasi rujukan;hidung masih mampet;pusing(+);sesak(+)")</f>
        <v>KOnsultasi rujukan;hidung masih mampet;pusing(+);sesak(+)</v>
      </c>
      <c r="F2" s="25" t="str">
        <f ca="1">IFERROR(__xludf.DUMMYFUNCTION("VLOOKUP($B7,FILTER('Kode Gejala + G44.0'!$B$2:$L$172, 'Kode Gejala + G44.0'!$L$2:$L$172&lt;&gt;""""),11,FALSE)"),"konsultasi rujukan;hidung masih mampet;pusing;sesak")</f>
        <v>konsultasi rujukan;hidung masih mampet;pusing;sesak</v>
      </c>
      <c r="G2" s="21" t="str">
        <f ca="1">IFERROR(__xludf.DUMMYFUNCTION("VLOOKUP($B7,FILTER('Kode Gejala + G44.0'!$B$2:$M$172, 'Kode Gejala + G44.0'!$M$2:$M$172&lt;&gt;""""),12,FALSE)"),"T,G611,G0,O")</f>
        <v>T,G611,G0,O</v>
      </c>
    </row>
    <row r="3" spans="1:7" ht="26.4" x14ac:dyDescent="0.3">
      <c r="A3" s="5">
        <v>2</v>
      </c>
      <c r="B3" s="19" t="s">
        <v>59</v>
      </c>
      <c r="C3" s="20" t="s">
        <v>54</v>
      </c>
      <c r="D3" s="22" t="s">
        <v>6</v>
      </c>
      <c r="E3" s="25" t="str">
        <f ca="1">IFERROR(__xludf.DUMMYFUNCTION("VLOOKUP($B8,FILTER('Kode Gejala + G44.0'!$B$2:$K$172, 'Kode Gejala + G44.0'!$K$2:$K$172&lt;&gt;""""),10,FALSE)"),"Pusing berputar(+);mual(+);muntah saat pusing;sejak lebaran kemaren")</f>
        <v>Pusing berputar(+);mual(+);muntah saat pusing;sejak lebaran kemaren</v>
      </c>
      <c r="F3" s="25" t="str">
        <f ca="1">IFERROR(__xludf.DUMMYFUNCTION("VLOOKUP($B8,FILTER('Kode Gejala + G44.0'!$B$2:$L$172, 'Kode Gejala + G44.0'!$L$2:$L$172&lt;&gt;""""),11,FALSE)"),"Pusing berputar;mual;muntah saat pusing;sejak lebaran kemarin")</f>
        <v>Pusing berputar;mual;muntah saat pusing;sejak lebaran kemarin</v>
      </c>
      <c r="G3" s="21" t="str">
        <f ca="1">IFERROR(__xludf.DUMMYFUNCTION("VLOOKUP($B8,FILTER('Kode Gejala + G44.0'!$B$2:$M$172, 'Kode Gejala + G44.0'!$M$2:$M$172&lt;&gt;""""),12,FALSE)"),"O,G61,G62,T")</f>
        <v>O,G61,G62,T</v>
      </c>
    </row>
    <row r="4" spans="1:7" ht="39.6" x14ac:dyDescent="0.3">
      <c r="A4" s="5">
        <v>3</v>
      </c>
      <c r="B4" s="19" t="s">
        <v>56</v>
      </c>
      <c r="C4" s="20" t="s">
        <v>65</v>
      </c>
      <c r="D4" s="22" t="s">
        <v>6</v>
      </c>
      <c r="E4" s="25" t="str">
        <f ca="1">IFERROR(__xludf.DUMMYFUNCTION("VLOOKUP($B11,FILTER('Kode Gejala + G44.0'!$B$2:$K$172, 'Kode Gejala + G44.0'!$K$2:$K$172&lt;&gt;""""),10,FALSE)"),"Nyeri kepala(+);badan meriang(+);mual(+);sejak 2 hr;alergi obat(-)")</f>
        <v>Nyeri kepala(+);badan meriang(+);mual(+);sejak 2 hr;alergi obat(-)</v>
      </c>
      <c r="F4" s="25" t="str">
        <f ca="1">IFERROR(__xludf.DUMMYFUNCTION("VLOOKUP($B11,FILTER('Kode Gejala + G44.0'!$B$2:$L$172, 'Kode Gejala + G44.0'!$L$2:$L$172&lt;&gt;""""),11,FALSE)"),"nyeri kepala;badan meriang;mual;sejak 2 hari;alergi obat nihil")</f>
        <v>nyeri kepala;badan meriang;mual;sejak 2 hari;alergi obat nihil</v>
      </c>
      <c r="G4" s="21" t="str">
        <f ca="1">IFERROR(__xludf.DUMMYFUNCTION("VLOOKUP($B11,FILTER('Kode Gejala + G44.0'!$B$2:$M$172, 'Kode Gejala + G44.0'!$M$2:$M$172&lt;&gt;""""),12,FALSE)"),"G0,O,G61,G52,T")</f>
        <v>G0,O,G61,G52,T</v>
      </c>
    </row>
    <row r="5" spans="1:7" ht="26.4" x14ac:dyDescent="0.3">
      <c r="A5" s="5">
        <v>4</v>
      </c>
      <c r="B5" s="26" t="s">
        <v>54</v>
      </c>
      <c r="C5" s="27" t="s">
        <v>44</v>
      </c>
      <c r="D5" s="28" t="s">
        <v>6</v>
      </c>
      <c r="E5" s="29" t="str">
        <f ca="1">IFERROR(__xludf.DUMMYFUNCTION("VLOOKUP($B13,FILTER('Kode Gejala + G44.0'!$B$2:$K$172, 'Kode Gejala + G44.0'!$K$2:$K$172&lt;&gt;""""),10,FALSE)"),"pusing sebelah kiri;sejak kemaren;tengkuk bahu terasa kaku")</f>
        <v>pusing sebelah kiri;sejak kemaren;tengkuk bahu terasa kaku</v>
      </c>
      <c r="F5" s="29" t="str">
        <f ca="1">IFERROR(__xludf.DUMMYFUNCTION("VLOOKUP($B13,FILTER('Kode Gejala + G44.0'!$B$2:$L$172, 'Kode Gejala + G44.0'!$L$2:$L$172&lt;&gt;""""),11,FALSE)"),"pusing sebelah kiri;sejak kemarin;tengkuk bahu terasa kaku")</f>
        <v>pusing sebelah kiri;sejak kemarin;tengkuk bahu terasa kaku</v>
      </c>
      <c r="G5" s="30" t="str">
        <f ca="1">IFERROR(__xludf.DUMMYFUNCTION("VLOOKUP($B13,FILTER('Kode Gejala + G44.0'!$B$2:$M$172, 'Kode Gejala + G44.0'!$M$2:$M$172&lt;&gt;""""),12,FALSE)"),"G23,G52,G614")</f>
        <v>G23,G52,G614</v>
      </c>
    </row>
    <row r="6" spans="1:7" ht="26.4" x14ac:dyDescent="0.3">
      <c r="A6" s="5">
        <v>5</v>
      </c>
      <c r="B6" s="19" t="s">
        <v>48</v>
      </c>
      <c r="C6" s="20" t="s">
        <v>38</v>
      </c>
      <c r="D6" s="22" t="s">
        <v>6</v>
      </c>
      <c r="E6" s="25" t="str">
        <f ca="1">IFERROR(__xludf.DUMMYFUNCTION("VLOOKUP($B16,FILTER('Kode Gejala + G44.0'!$B$2:$K$172, 'Kode Gejala + G44.0'!$K$2:$K$172&lt;&gt;""""),10,FALSE)"),"Pusing(+);terasa tdk nyaman di badan;tengkiuk terasa kaku")</f>
        <v>Pusing(+);terasa tdk nyaman di badan;tengkiuk terasa kaku</v>
      </c>
      <c r="F6" s="25" t="str">
        <f ca="1">IFERROR(__xludf.DUMMYFUNCTION("VLOOKUP($B16,FILTER('Kode Gejala + G44.0'!$B$2:$L$172, 'Kode Gejala + G44.0'!$L$2:$L$172&lt;&gt;""""),11,FALSE)"),"Pusing;terasa tidak nyaman di badan;tengkuk terasa kaku")</f>
        <v>Pusing;terasa tidak nyaman di badan;tengkuk terasa kaku</v>
      </c>
      <c r="G6" s="21" t="str">
        <f ca="1">IFERROR(__xludf.DUMMYFUNCTION("VLOOKUP($B16,FILTER('Kode Gejala + G44.0'!$B$2:$M$172, 'Kode Gejala + G44.0'!$M$2:$M$172&lt;&gt;""""),12,FALSE)"),"G0,O,G614")</f>
        <v>G0,O,G614</v>
      </c>
    </row>
    <row r="7" spans="1:7" ht="79.2" x14ac:dyDescent="0.3">
      <c r="A7" s="5">
        <v>6</v>
      </c>
      <c r="B7" s="19" t="s">
        <v>65</v>
      </c>
      <c r="C7" s="20" t="s">
        <v>37</v>
      </c>
      <c r="D7" s="22" t="s">
        <v>6</v>
      </c>
      <c r="E7" s="25" t="str">
        <f ca="1">IFERROR(__xludf.DUMMYFUNCTION("VLOOKUP($B17,FILTER('Kode Gejala + G44.0'!$B$2:$K$172, 'Kode Gejala + G44.0'!$K$2:$K$172&lt;&gt;""""),10,FALSE)"),"Tengkuk terasa kaku , tegang;resume dr RS Srdjito diangnosa Migrainosisi;IGD 2x;20,8;elicaf 2dd1;anatak 2dd1;mecobilamid 2dd 500 mg;Dx migrain;reflek patologi (-);IGD 30 sept 2019")</f>
        <v>Tengkuk terasa kaku , tegang;resume dr RS Srdjito diangnosa Migrainosisi;IGD 2x;20,8;elicaf 2dd1;anatak 2dd1;mecobilamid 2dd 500 mg;Dx migrain;reflek patologi (-);IGD 30 sept 2019</v>
      </c>
      <c r="F7" s="25" t="str">
        <f ca="1">IFERROR(__xludf.DUMMYFUNCTION("VLOOKUP($B17,FILTER('Kode Gejala + G44.0'!$B$2:$L$172, 'Kode Gejala + G44.0'!$L$2:$L$172&lt;&gt;""""),11,FALSE)"),"tengkuk terasa kaku, tegang;resume dari RS Sardjito diangnosa Migrainosisi;IGD 2 kali;20.8;elicaf 2dd1;anatak 2dd1;mecobilamid 2dd 500 mg;dx migrain;reflek patologi nihil;IGD 30 september 2019")</f>
        <v>tengkuk terasa kaku, tegang;resume dari RS Sardjito diangnosa Migrainosisi;IGD 2 kali;20.8;elicaf 2dd1;anatak 2dd1;mecobilamid 2dd 500 mg;dx migrain;reflek patologi nihil;IGD 30 september 2019</v>
      </c>
      <c r="G7" s="21" t="str">
        <f ca="1">IFERROR(__xludf.DUMMYFUNCTION("VLOOKUP($B17,FILTER('Kode Gejala + G44.0'!$B$2:$M$172, 'Kode Gejala + G44.0'!$M$2:$M$172&lt;&gt;""""),12,FALSE)"),"G614,G11,G43,O,G11,G11,G11,G23,O,G43")</f>
        <v>G614,G11,G43,O,G11,G11,G11,G23,O,G43</v>
      </c>
    </row>
    <row r="8" spans="1:7" ht="52.8" x14ac:dyDescent="0.3">
      <c r="A8" s="5">
        <v>7</v>
      </c>
      <c r="B8" s="19" t="s">
        <v>46</v>
      </c>
      <c r="C8" s="20" t="s">
        <v>35</v>
      </c>
      <c r="D8" s="19" t="s">
        <v>6</v>
      </c>
      <c r="E8" s="25" t="str">
        <f ca="1">IFERROR(__xludf.DUMMYFUNCTION("VLOOKUP($B18,FILTER('Kode Gejala + G44.0'!$B$2:$K$172, 'Kode Gejala + G44.0'!$K$2:$K$172&lt;&gt;""""),10,FALSE)"),"pusing di daerah dahi sekitar mata;dan pusing dimkepala bagian belakang kanan;+-7hari;riwayat visus -0,75 dan -0,25;mual +;sensitive cahaya;alergi obat -")</f>
        <v>pusing di daerah dahi sekitar mata;dan pusing dimkepala bagian belakang kanan;+-7hari;riwayat visus -0,75 dan -0,25;mual +;sensitive cahaya;alergi obat -</v>
      </c>
      <c r="F8" s="25" t="str">
        <f ca="1">IFERROR(__xludf.DUMMYFUNCTION("VLOOKUP($B18,FILTER('Kode Gejala + G44.0'!$B$2:$L$172, 'Kode Gejala + G44.0'!$L$2:$L$172&lt;&gt;""""),11,FALSE)"),"pusing di daerah dahi sekitar mata;dan pusing di kepala bagian belakang kanan;kurang lebih 7 hari;riwayat visus minus 0.75 dan minus 0.25;mual;sensitif cahaya;alergi obat nihil")</f>
        <v>pusing di daerah dahi sekitar mata;dan pusing di kepala bagian belakang kanan;kurang lebih 7 hari;riwayat visus minus 0.75 dan minus 0.25;mual;sensitif cahaya;alergi obat nihil</v>
      </c>
      <c r="G8" s="21" t="str">
        <f ca="1">IFERROR(__xludf.DUMMYFUNCTION("VLOOKUP($B18,FILTER('Kode Gejala + G44.0'!$B$2:$M$172, 'Kode Gejala + G44.0'!$M$2:$M$172&lt;&gt;""""),12,FALSE)"),"G24,G23,G31,O,G61,G64,T")</f>
        <v>G24,G23,G31,O,G61,G64,T</v>
      </c>
    </row>
    <row r="9" spans="1:7" ht="66" x14ac:dyDescent="0.3">
      <c r="A9" s="5">
        <v>8</v>
      </c>
      <c r="B9" s="19" t="s">
        <v>38</v>
      </c>
      <c r="C9" s="20" t="s">
        <v>30</v>
      </c>
      <c r="D9" s="22" t="s">
        <v>6</v>
      </c>
      <c r="E9" s="25" t="str">
        <f ca="1">IFERROR(__xludf.DUMMYFUNCTION("VLOOKUP($B22,FILTER('Kode Gejala + G44.0'!$B$2:$K$172, 'Kode Gejala + G44.0'!$K$2:$K$172&lt;&gt;""""),10,FALSE)"),"nyeri kepala berdenyut(+);2 bln;bengkak telinga kanan di sertai nyeri (+);sdh periksa Rs Hidayatullah di beri obat;blm sembuh;pilek (+);batuk (+);telinga kanan bengkak;nyeri (+);alergi obat (-)")</f>
        <v>nyeri kepala berdenyut(+);2 bln;bengkak telinga kanan di sertai nyeri (+);sdh periksa Rs Hidayatullah di beri obat;blm sembuh;pilek (+);batuk (+);telinga kanan bengkak;nyeri (+);alergi obat (-)</v>
      </c>
      <c r="F9" s="25" t="str">
        <f ca="1">IFERROR(__xludf.DUMMYFUNCTION("VLOOKUP($B22,FILTER('Kode Gejala + G44.0'!$B$2:$L$172, 'Kode Gejala + G44.0'!$L$2:$L$172&lt;&gt;""""),11,FALSE)"),"nyeri kepala berdenyut;2 bulan;bengkak telinga kanan disertai nyeri;sudah periksa RS hidayatullah diberi obat;belum sembuh;pilek;batuk;telinga kanan bengkak;nyeri;alergi obat nihil")</f>
        <v>nyeri kepala berdenyut;2 bulan;bengkak telinga kanan disertai nyeri;sudah periksa RS hidayatullah diberi obat;belum sembuh;pilek;batuk;telinga kanan bengkak;nyeri;alergi obat nihil</v>
      </c>
      <c r="G9" s="21" t="str">
        <f ca="1">IFERROR(__xludf.DUMMYFUNCTION("VLOOKUP($B22,FILTER('Kode Gejala + G44.0'!$B$2:$M$172, 'Kode Gejala + G44.0'!$M$2:$M$172&lt;&gt;""""),12,FALSE)"),"G11,G32,O,T,T,G612,O,O,O,T")</f>
        <v>G11,G32,O,T,T,G612,O,O,O,T</v>
      </c>
    </row>
    <row r="10" spans="1:7" ht="52.8" x14ac:dyDescent="0.3">
      <c r="A10" s="5">
        <v>9</v>
      </c>
      <c r="B10" s="19" t="s">
        <v>35</v>
      </c>
      <c r="C10" s="20" t="s">
        <v>26</v>
      </c>
      <c r="D10" s="22" t="s">
        <v>6</v>
      </c>
      <c r="E10" s="25" t="str">
        <f ca="1">IFERROR(__xludf.DUMMYFUNCTION("VLOOKUP($B24,FILTER('Kode Gejala + G44.0'!$B$2:$K$172, 'Kode Gejala + G44.0'!$K$2:$K$172&lt;&gt;""""),10,FALSE)"),"Mata kiri terasa nyeri(+);kemerahan (-);Penglihatan normal(+);3 hari pusing;mkn perih(-);gatal (-);kotoran mata (-)")</f>
        <v>Mata kiri terasa nyeri(+);kemerahan (-);Penglihatan normal(+);3 hari pusing;mkn perih(-);gatal (-);kotoran mata (-)</v>
      </c>
      <c r="F10" s="25" t="str">
        <f ca="1">IFERROR(__xludf.DUMMYFUNCTION("VLOOKUP($B24,FILTER('Kode Gejala + G44.0'!$B$2:$L$172, 'Kode Gejala + G44.0'!$L$2:$L$172&lt;&gt;""""),11,FALSE)"),"Mata kiri terasa nyeri;kemerahan nihil;penglihatan normal;3 hari pusing;makan perih nihil;gatal nihil;kotoran mata nihil")</f>
        <v>Mata kiri terasa nyeri;kemerahan nihil;penglihatan normal;3 hari pusing;makan perih nihil;gatal nihil;kotoran mata nihil</v>
      </c>
      <c r="G10" s="21" t="str">
        <f ca="1">IFERROR(__xludf.DUMMYFUNCTION("VLOOKUP($B24,FILTER('Kode Gejala + G44.0'!$B$2:$M$172, 'Kode Gejala + G44.0'!$M$2:$M$172&lt;&gt;""""),12,FALSE)"),"G24,O,XG64,G0,O,O,O")</f>
        <v>G24,O,XG64,G0,O,O,O</v>
      </c>
    </row>
    <row r="11" spans="1:7" x14ac:dyDescent="0.3">
      <c r="A11" s="5">
        <v>10</v>
      </c>
      <c r="B11" s="19" t="s">
        <v>25</v>
      </c>
      <c r="C11" s="19" t="s">
        <v>64</v>
      </c>
      <c r="D11" s="22" t="s">
        <v>10</v>
      </c>
      <c r="E11" s="25" t="str">
        <f ca="1">IFERROR(__xludf.DUMMYFUNCTION("VLOOKUP($B31,FILTER('Kode Gejala + G44.2'!$B$2:$K$229, 'Kode Gejala + G44.2'!$K$2:$K$229&lt;&gt;""""),10,FALSE)"),"tengku terasa kenceng2;pusing")</f>
        <v>tengku terasa kenceng2;pusing</v>
      </c>
      <c r="F11" s="31" t="str">
        <f ca="1">IFERROR(__xludf.DUMMYFUNCTION("VLOOKUP($B31,FILTER('Kode Gejala + G44.2'!$B$2:$L$229, 'Kode Gejala + G44.2'!$L$2:$L$229&lt;&gt;""""),11,FALSE)"),"tengkuk terasa kenceng kenceng;pusing")</f>
        <v>tengkuk terasa kenceng kenceng;pusing</v>
      </c>
      <c r="G11" s="21" t="str">
        <f ca="1">IFERROR(__xludf.DUMMYFUNCTION("VLOOKUP($B31,FILTER('Kode Gejala + G44.2'!$B$2:$M$229, 'Kode Gejala + G44.2'!$M$2:$M$229&lt;&gt;""""),12,FALSE)"),"G614,G0")</f>
        <v>G614,G0</v>
      </c>
    </row>
    <row r="12" spans="1:7" ht="26.4" x14ac:dyDescent="0.3">
      <c r="A12" s="5">
        <v>11</v>
      </c>
      <c r="B12" s="19" t="s">
        <v>23</v>
      </c>
      <c r="C12" s="19" t="s">
        <v>63</v>
      </c>
      <c r="D12" s="19" t="s">
        <v>10</v>
      </c>
      <c r="E12" s="25" t="str">
        <f ca="1">IFERROR(__xludf.DUMMYFUNCTION("VLOOKUP($B32,FILTER('Kode Gejala + G44.2'!$B$2:$K$229, 'Kode Gejala + G44.2'!$K$2:$K$229&lt;&gt;""""),10,FALSE)"),"pusing;jantung berdebar;kadang ulu hati nyeri jika terlambat makan")</f>
        <v>pusing;jantung berdebar;kadang ulu hati nyeri jika terlambat makan</v>
      </c>
      <c r="F12" s="31" t="str">
        <f ca="1">IFERROR(__xludf.DUMMYFUNCTION("VLOOKUP($B32,FILTER('Kode Gejala + G44.2'!$B$2:$L$229, 'Kode Gejala + G44.2'!$L$2:$L$229&lt;&gt;""""),11,FALSE)"),"pusing;jantung berdebar;kadang ulu hati nyeri jika terlambat makan")</f>
        <v>pusing;jantung berdebar;kadang ulu hati nyeri jika terlambat makan</v>
      </c>
      <c r="G12" s="21" t="str">
        <f ca="1">IFERROR(__xludf.DUMMYFUNCTION("VLOOKUP($B32,FILTER('Kode Gejala + G44.2'!$B$2:$M$229, 'Kode Gejala + G44.2'!$M$2:$M$229&lt;&gt;""""),12,FALSE)"),"G0,O,G93")</f>
        <v>G0,O,G93</v>
      </c>
    </row>
    <row r="13" spans="1:7" x14ac:dyDescent="0.3">
      <c r="A13" s="5">
        <v>12</v>
      </c>
      <c r="B13" s="19" t="s">
        <v>21</v>
      </c>
      <c r="C13" s="19" t="s">
        <v>62</v>
      </c>
      <c r="D13" s="22" t="s">
        <v>10</v>
      </c>
      <c r="E13" s="25" t="str">
        <f ca="1">IFERROR(__xludf.DUMMYFUNCTION("VLOOKUP($B33,FILTER('Kode Gejala + G44.2'!$B$2:$K$229, 'Kode Gejala + G44.2'!$K$2:$K$229&lt;&gt;""""),10,FALSE)"),"Pusing(+);mual(-);muntah")</f>
        <v>Pusing(+);mual(-);muntah</v>
      </c>
      <c r="F13" s="31" t="str">
        <f ca="1">IFERROR(__xludf.DUMMYFUNCTION("VLOOKUP($B33,FILTER('Kode Gejala + G44.2'!$B$2:$L$229, 'Kode Gejala + G44.2'!$L$2:$L$229&lt;&gt;""""),11,FALSE)"),"Pusing;mual nihil;muntah")</f>
        <v>Pusing;mual nihil;muntah</v>
      </c>
      <c r="G13" s="21" t="str">
        <f ca="1">IFERROR(__xludf.DUMMYFUNCTION("VLOOKUP($B33,FILTER('Kode Gejala + G44.2'!$B$2:$M$229, 'Kode Gejala + G44.2'!$M$2:$M$229&lt;&gt;""""),12,FALSE)"),"G0,XG61,G62")</f>
        <v>G0,XG61,G62</v>
      </c>
    </row>
    <row r="14" spans="1:7" x14ac:dyDescent="0.3">
      <c r="A14" s="5">
        <v>13</v>
      </c>
      <c r="B14" s="19" t="s">
        <v>19</v>
      </c>
      <c r="C14" s="19" t="s">
        <v>61</v>
      </c>
      <c r="D14" s="19" t="s">
        <v>10</v>
      </c>
      <c r="E14" s="25" t="str">
        <f ca="1">IFERROR(__xludf.DUMMYFUNCTION("VLOOKUP($B34,FILTER('Kode Gejala + G44.2'!$B$2:$K$229, 'Kode Gejala + G44.2'!$K$2:$K$229&lt;&gt;""""),10,FALSE)"),"Pusing;pilek;batuk")</f>
        <v>Pusing;pilek;batuk</v>
      </c>
      <c r="F14" s="31" t="str">
        <f ca="1">IFERROR(__xludf.DUMMYFUNCTION("VLOOKUP($B34,FILTER('Kode Gejala + G44.2'!$B$2:$L$229, 'Kode Gejala + G44.2'!$L$2:$L$229&lt;&gt;""""),11,FALSE)"),"Pusing;pilek;batuk")</f>
        <v>Pusing;pilek;batuk</v>
      </c>
      <c r="G14" s="21" t="str">
        <f ca="1">IFERROR(__xludf.DUMMYFUNCTION("VLOOKUP($B34,FILTER('Kode Gejala + G44.2'!$B$2:$M$229, 'Kode Gejala + G44.2'!$M$2:$M$229&lt;&gt;""""),12,FALSE)"),"G0,G612,O")</f>
        <v>G0,G612,O</v>
      </c>
    </row>
    <row r="15" spans="1:7" ht="39.6" x14ac:dyDescent="0.3">
      <c r="A15" s="5">
        <v>14</v>
      </c>
      <c r="B15" s="19" t="s">
        <v>8</v>
      </c>
      <c r="C15" s="19" t="s">
        <v>56</v>
      </c>
      <c r="D15" s="22" t="s">
        <v>10</v>
      </c>
      <c r="E15" s="25" t="str">
        <f ca="1">IFERROR(__xludf.DUMMYFUNCTION("VLOOKUP($B39,FILTER('Kode Gejala + G44.2'!$B$2:$K$229, 'Kode Gejala + G44.2'!$K$2:$K$229&lt;&gt;""""),10,FALSE)"),"Kepala terasa pusing (+);Leher terasa kaku (+);Mual Muntah (-);+-1hari riwayat magh (-)")</f>
        <v>Kepala terasa pusing (+);Leher terasa kaku (+);Mual Muntah (-);+-1hari riwayat magh (-)</v>
      </c>
      <c r="F15" s="31" t="str">
        <f ca="1">IFERROR(__xludf.DUMMYFUNCTION("VLOOKUP($B39,FILTER('Kode Gejala + G44.2'!$B$2:$L$229, 'Kode Gejala + G44.2'!$L$2:$L$229&lt;&gt;""""),11,FALSE)"),"kepala terasa pusing;leher terasa kaku;Mual Muntah nihil;kurang lebih 1 hari riwayat magh nihil")</f>
        <v>kepala terasa pusing;leher terasa kaku;Mual Muntah nihil;kurang lebih 1 hari riwayat magh nihil</v>
      </c>
      <c r="G15" s="21" t="str">
        <f ca="1">IFERROR(__xludf.DUMMYFUNCTION("VLOOKUP($B39,FILTER('Kode Gejala + G44.2'!$B$2:$M$229, 'Kode Gejala + G44.2'!$M$2:$M$229&lt;&gt;""""),12,FALSE)"),"G0,G614,XG61,O")</f>
        <v>G0,G614,XG61,O</v>
      </c>
    </row>
    <row r="16" spans="1:7" ht="66" x14ac:dyDescent="0.3">
      <c r="A16" s="5">
        <v>15</v>
      </c>
      <c r="B16" s="19" t="s">
        <v>70</v>
      </c>
      <c r="C16" s="19" t="s">
        <v>55</v>
      </c>
      <c r="D16" s="19" t="s">
        <v>10</v>
      </c>
      <c r="E16" s="25" t="str">
        <f ca="1">IFERROR(__xludf.DUMMYFUNCTION("VLOOKUP($B40,FILTER('Kode Gejala + G44.2'!$B$2:$K$229, 'Kode Gejala + G44.2'!$K$2:$K$229&lt;&gt;""""),10,FALSE)"),"Kepala terasa sakit (+);pusing (+);berputar (-);badan terasa lemes (+);demam(-);batuk (-);pilek(-);sesak 3 hr;tengkuk cengeng(-);cekot2 (+);mual(-);muntah(-);Rw magh (-)")</f>
        <v>Kepala terasa sakit (+);pusing (+);berputar (-);badan terasa lemes (+);demam(-);batuk (-);pilek(-);sesak 3 hr;tengkuk cengeng(-);cekot2 (+);mual(-);muntah(-);Rw magh (-)</v>
      </c>
      <c r="F16" s="31" t="str">
        <f ca="1">IFERROR(__xludf.DUMMYFUNCTION("VLOOKUP($B40,FILTER('Kode Gejala + G44.2'!$B$2:$L$229, 'Kode Gejala + G44.2'!$L$2:$L$229&lt;&gt;""""),11,FALSE)"),"Kepala terasa sakit;pusing;berputar nihil;badan terasa lemes;demam nihil;batuk nihil;pilek nihil;sesak 3 hari;tengkuk cengeng nihil;cekot cekot;mual nihil;muntah nihil;riwayat magh nihil")</f>
        <v>Kepala terasa sakit;pusing;berputar nihil;badan terasa lemes;demam nihil;batuk nihil;pilek nihil;sesak 3 hari;tengkuk cengeng nihil;cekot cekot;mual nihil;muntah nihil;riwayat magh nihil</v>
      </c>
      <c r="G16" s="21" t="str">
        <f ca="1">IFERROR(__xludf.DUMMYFUNCTION("VLOOKUP($B40,FILTER('Kode Gejala + G44.2'!$B$2:$M$229, 'Kode Gejala + G44.2'!$M$2:$M$229&lt;&gt;""""),12,FALSE)"),"G0,G0,O,O,O,O,XG612,O,XG614,G11,XG61,XG62,O")</f>
        <v>G0,G0,O,O,O,O,XG612,O,XG614,G11,XG61,XG62,O</v>
      </c>
    </row>
    <row r="17" spans="1:7" ht="66" x14ac:dyDescent="0.3">
      <c r="A17" s="5">
        <v>16</v>
      </c>
      <c r="B17" s="19" t="s">
        <v>71</v>
      </c>
      <c r="C17" s="19" t="s">
        <v>54</v>
      </c>
      <c r="D17" s="22" t="s">
        <v>10</v>
      </c>
      <c r="E17" s="25" t="str">
        <f ca="1">IFERROR(__xludf.DUMMYFUNCTION("VLOOKUP($B41,FILTER('Kode Gejala + G44.2'!$B$2:$K$229, 'Kode Gejala + G44.2'!$K$2:$K$229&lt;&gt;""""),10,FALSE)"),"Nyeri kepala (+) berputar;Mual (+);Muntah (-);Nyeri lambung (+);Diare (-);Batuk (-);Dada terasa sesak (+);panas perih;surat ket sakit (+);pahit kecut dilidah (+);Alergi analsix (+)")</f>
        <v>Nyeri kepala (+) berputar;Mual (+);Muntah (-);Nyeri lambung (+);Diare (-);Batuk (-);Dada terasa sesak (+);panas perih;surat ket sakit (+);pahit kecut dilidah (+);Alergi analsix (+)</v>
      </c>
      <c r="F17" s="31" t="str">
        <f ca="1">IFERROR(__xludf.DUMMYFUNCTION("VLOOKUP($B41,FILTER('Kode Gejala + G44.2'!$B$2:$L$229, 'Kode Gejala + G44.2'!$L$2:$L$229&lt;&gt;""""),11,FALSE)"),"Nyeri kepala berputar;Mual;Muntah nihil;nyeri lambung;diare nihil;Batuk nihil;dada terasa sesak;panas perih;surat keterangan sakit;pahit kecut di lidah;alergi analsix")</f>
        <v>Nyeri kepala berputar;Mual;Muntah nihil;nyeri lambung;diare nihil;Batuk nihil;dada terasa sesak;panas perih;surat keterangan sakit;pahit kecut di lidah;alergi analsix</v>
      </c>
      <c r="G17" s="21" t="str">
        <f ca="1">IFERROR(__xludf.DUMMYFUNCTION("VLOOKUP($B41,FILTER('Kode Gejala + G44.2'!$B$2:$M$229, 'Kode Gejala + G44.2'!$M$2:$M$229&lt;&gt;""""),12,FALSE)"),"O,G61,XG62,G93,O,O,O,G93,T,O,T")</f>
        <v>O,G61,XG62,G93,O,O,O,G93,T,O,T</v>
      </c>
    </row>
    <row r="18" spans="1:7" ht="26.4" x14ac:dyDescent="0.3">
      <c r="A18" s="5">
        <v>17</v>
      </c>
      <c r="B18" s="19" t="s">
        <v>49</v>
      </c>
      <c r="C18" s="19" t="s">
        <v>48</v>
      </c>
      <c r="D18" s="22" t="s">
        <v>10</v>
      </c>
      <c r="E18" s="25" t="str">
        <f ca="1">IFERROR(__xludf.DUMMYFUNCTION("VLOOKUP($B44,FILTER('Kode Gejala + G44.2'!$B$2:$K$229, 'Kode Gejala + G44.2'!$K$2:$K$229&lt;&gt;""""),10,FALSE)"),"Telinga berdering (+);Nyeri (-);Pusing (+) +-1minggu;Mual (+)")</f>
        <v>Telinga berdering (+);Nyeri (-);Pusing (+) +-1minggu;Mual (+)</v>
      </c>
      <c r="F18" s="31" t="str">
        <f ca="1">IFERROR(__xludf.DUMMYFUNCTION("VLOOKUP($B44,FILTER('Kode Gejala + G44.2'!$B$2:$L$229, 'Kode Gejala + G44.2'!$L$2:$L$229&lt;&gt;""""),11,FALSE)"),"Telinga berdering;Nyeri nihil;Pusing kurang lebih 1 minggu;mual")</f>
        <v>Telinga berdering;Nyeri nihil;Pusing kurang lebih 1 minggu;mual</v>
      </c>
      <c r="G18" s="21" t="str">
        <f ca="1">IFERROR(__xludf.DUMMYFUNCTION("VLOOKUP($B44,FILTER('Kode Gejala + G44.2'!$B$2:$M$229, 'Kode Gejala + G44.2'!$M$2:$M$229&lt;&gt;""""),12,FALSE)"),"O,O,G51,G61")</f>
        <v>O,O,G51,G61</v>
      </c>
    </row>
    <row r="19" spans="1:7" ht="66" x14ac:dyDescent="0.3">
      <c r="A19" s="5">
        <v>18</v>
      </c>
      <c r="B19" s="19" t="s">
        <v>47</v>
      </c>
      <c r="C19" s="19" t="s">
        <v>46</v>
      </c>
      <c r="D19" s="19" t="s">
        <v>10</v>
      </c>
      <c r="E19" s="25" t="str">
        <f ca="1">IFERROR(__xludf.DUMMYFUNCTION("VLOOKUP($B45,FILTER('Kode Gejala + G44.2'!$B$2:$K$229, 'Kode Gejala + G44.2'!$K$2:$K$229&lt;&gt;""""),10,FALSE)"),"nyeri kepala sebelah;+-1minggu;mual (-);batuk sedikit (+);cek asam urat, kolesterol, gula darah;perut perih (+);panas (+);dada kurang nyaman (+);mulut pahit (+)")</f>
        <v>nyeri kepala sebelah;+-1minggu;mual (-);batuk sedikit (+);cek asam urat, kolesterol, gula darah;perut perih (+);panas (+);dada kurang nyaman (+);mulut pahit (+)</v>
      </c>
      <c r="F19" s="31" t="str">
        <f ca="1">IFERROR(__xludf.DUMMYFUNCTION("VLOOKUP($B45,FILTER('Kode Gejala + G44.2'!$B$2:$L$229, 'Kode Gejala + G44.2'!$L$2:$L$229&lt;&gt;""""),11,FALSE)"),"nyeri kepala sebelah;kurang lebih 1 minggu;mual nihil;batuk sedikit;cek asam urat, kolesterol, gula darah;perut perih;panas;dada kurang nyaman;mulut pahit")</f>
        <v>nyeri kepala sebelah;kurang lebih 1 minggu;mual nihil;batuk sedikit;cek asam urat, kolesterol, gula darah;perut perih;panas;dada kurang nyaman;mulut pahit</v>
      </c>
      <c r="G19" s="21" t="str">
        <f ca="1">IFERROR(__xludf.DUMMYFUNCTION("VLOOKUP($B45,FILTER('Kode Gejala + G44.2'!$B$2:$M$229, 'Kode Gejala + G44.2'!$M$2:$M$229&lt;&gt;""""),12,FALSE)"),"G23,G51,XG61,O,T,O,O,O,O")</f>
        <v>G23,G51,XG61,O,T,O,O,O,O</v>
      </c>
    </row>
    <row r="20" spans="1:7" ht="66" x14ac:dyDescent="0.3">
      <c r="A20" s="5">
        <v>19</v>
      </c>
      <c r="B20" s="19" t="s">
        <v>45</v>
      </c>
      <c r="C20" s="19" t="s">
        <v>44</v>
      </c>
      <c r="D20" s="22" t="s">
        <v>10</v>
      </c>
      <c r="E20" s="25" t="str">
        <f ca="1">IFERROR(__xludf.DUMMYFUNCTION("VLOOKUP($B46,FILTER('Kode Gejala + G44.2'!$B$2:$K$229, 'Kode Gejala + G44.2'!$K$2:$K$229&lt;&gt;""""),10,FALSE)"),"sakit kepala (+);mual muntah (-);nyeri kepala saat sujud sholat (+);+-3hari;terasa berat (+);minum simvastatin;kesemutan di tangan kaki terutama bangun tidur (+)")</f>
        <v>sakit kepala (+);mual muntah (-);nyeri kepala saat sujud sholat (+);+-3hari;terasa berat (+);minum simvastatin;kesemutan di tangan kaki terutama bangun tidur (+)</v>
      </c>
      <c r="F20" s="31" t="str">
        <f ca="1">IFERROR(__xludf.DUMMYFUNCTION("VLOOKUP($B46,FILTER('Kode Gejala + G44.2'!$B$2:$L$229, 'Kode Gejala + G44.2'!$L$2:$L$229&lt;&gt;""""),11,FALSE)"),"sakit kepala;mual muntah nihil;nyeri kepala saat sujud sholat;kurang lebih 3 hari;terasa berat;minum simvastatin;kesemutan di tangan kaki terutama bangun tidur")</f>
        <v>sakit kepala;mual muntah nihil;nyeri kepala saat sujud sholat;kurang lebih 3 hari;terasa berat;minum simvastatin;kesemutan di tangan kaki terutama bangun tidur</v>
      </c>
      <c r="G20" s="21" t="str">
        <f ca="1">IFERROR(__xludf.DUMMYFUNCTION("VLOOKUP($B46,FILTER('Kode Gejala + G44.2'!$B$2:$M$229, 'Kode Gejala + G44.2'!$M$2:$M$229&lt;&gt;""""),12,FALSE)"),"G0,XG61,G71,G52,G43,T,O")</f>
        <v>G0,XG61,G71,G52,G43,T,O</v>
      </c>
    </row>
    <row r="21" spans="1:7" ht="52.8" x14ac:dyDescent="0.3">
      <c r="A21" s="5">
        <v>20</v>
      </c>
      <c r="B21" s="19" t="s">
        <v>41</v>
      </c>
      <c r="C21" s="19" t="s">
        <v>40</v>
      </c>
      <c r="D21" s="19" t="s">
        <v>10</v>
      </c>
      <c r="E21" s="25" t="str">
        <f ca="1">IFERROR(__xludf.DUMMYFUNCTION("VLOOKUP($B48,FILTER('Kode Gejala + G44.2'!$B$2:$K$229, 'Kode Gejala + G44.2'!$K$2:$K$229&lt;&gt;""""),10,FALSE)"),"kepala kadang sakit (+);kepala terasa berat (+);dan susah tidur (+);keluhan hilang timbul sejak 2 minggu ini;semalam minum mertigo")</f>
        <v>kepala kadang sakit (+);kepala terasa berat (+);dan susah tidur (+);keluhan hilang timbul sejak 2 minggu ini;semalam minum mertigo</v>
      </c>
      <c r="F21" s="31" t="str">
        <f ca="1">IFERROR(__xludf.DUMMYFUNCTION("VLOOKUP($B48,FILTER('Kode Gejala + G44.2'!$B$2:$L$229, 'Kode Gejala + G44.2'!$L$2:$L$229&lt;&gt;""""),11,FALSE)"),"kepala kadang sakit;kepala terasa berat;dan susah tidur;keluhan hilang timbul sejak 2 minggu ini;semalam minum mertigo")</f>
        <v>kepala kadang sakit;kepala terasa berat;dan susah tidur;keluhan hilang timbul sejak 2 minggu ini;semalam minum mertigo</v>
      </c>
      <c r="G21" s="21" t="str">
        <f ca="1">IFERROR(__xludf.DUMMYFUNCTION("VLOOKUP($B48,FILTER('Kode Gejala + G44.2'!$B$2:$M$229, 'Kode Gejala + G44.2'!$M$2:$M$229&lt;&gt;""""),12,FALSE)"),"G34,G13,G68,G31,T")</f>
        <v>G34,G13,G68,G31,T</v>
      </c>
    </row>
    <row r="22" spans="1:7" ht="39.6" x14ac:dyDescent="0.3">
      <c r="A22" s="5">
        <v>21</v>
      </c>
      <c r="B22" s="19" t="s">
        <v>72</v>
      </c>
      <c r="C22" s="19" t="s">
        <v>37</v>
      </c>
      <c r="D22" s="22" t="s">
        <v>10</v>
      </c>
      <c r="E22" s="25" t="str">
        <f ca="1">IFERROR(__xludf.DUMMYFUNCTION("VLOOKUP($B50,FILTER('Kode Gejala + G44.2'!$B$2:$K$229, 'Kode Gejala + G44.2'!$K$2:$K$229&lt;&gt;""""),10,FALSE)"),"pusing, (+);sakit kepala (+);menjalar sampai telinga (+);bahu -&gt; lengan terasa kaku (+);dari Sp.Jp diminta konsul Sp.S")</f>
        <v>pusing, (+);sakit kepala (+);menjalar sampai telinga (+);bahu -&gt; lengan terasa kaku (+);dari Sp.Jp diminta konsul Sp.S</v>
      </c>
      <c r="F22" s="31" t="str">
        <f ca="1">IFERROR(__xludf.DUMMYFUNCTION("VLOOKUP($B50,FILTER('Kode Gejala + G44.2'!$B$2:$L$229, 'Kode Gejala + G44.2'!$L$2:$L$229&lt;&gt;""""),11,FALSE)"),"pusing;sakit kepala;menjalar sampai telinga;bahu ke lengan terasa kaku;dari Sp.Jp diminta konsul Sp.S")</f>
        <v>pusing;sakit kepala;menjalar sampai telinga;bahu ke lengan terasa kaku;dari Sp.Jp diminta konsul Sp.S</v>
      </c>
      <c r="G22" s="21" t="str">
        <f ca="1">IFERROR(__xludf.DUMMYFUNCTION("VLOOKUP($B50,FILTER('Kode Gejala + G44.2'!$B$2:$M$229, 'Kode Gejala + G44.2'!$M$2:$M$229&lt;&gt;""""),12,FALSE)"),"G0,G0,G22,G614,T")</f>
        <v>G0,G0,G22,G614,T</v>
      </c>
    </row>
    <row r="23" spans="1:7" ht="39.6" x14ac:dyDescent="0.3">
      <c r="A23" s="5">
        <v>22</v>
      </c>
      <c r="B23" s="19" t="s">
        <v>73</v>
      </c>
      <c r="C23" s="19" t="s">
        <v>34</v>
      </c>
      <c r="D23" s="22" t="s">
        <v>10</v>
      </c>
      <c r="E23" s="25" t="str">
        <f ca="1">IFERROR(__xludf.DUMMYFUNCTION("VLOOKUP($B52,FILTER('Kode Gejala + G44.2'!$B$2:$K$229, 'Kode Gejala + G44.2'!$K$2:$K$229&lt;&gt;""""),10,FALSE)"),"Nyeri kepala;disertai tegang di pundak;Mual (+);Kembung;Nyeri lambung (+);Diare (-);Alergi Obat (-)")</f>
        <v>Nyeri kepala;disertai tegang di pundak;Mual (+);Kembung;Nyeri lambung (+);Diare (-);Alergi Obat (-)</v>
      </c>
      <c r="F23" s="31" t="str">
        <f ca="1">IFERROR(__xludf.DUMMYFUNCTION("VLOOKUP($B52,FILTER('Kode Gejala + G44.2'!$B$2:$L$229, 'Kode Gejala + G44.2'!$L$2:$L$229&lt;&gt;""""),11,FALSE)"),"Nyeri kepala;disertai tegang di pundak;Mual;Kembung;Nyeri lambung;Diare nihil;Alergi Obat nihil")</f>
        <v>Nyeri kepala;disertai tegang di pundak;Mual;Kembung;Nyeri lambung;Diare nihil;Alergi Obat nihil</v>
      </c>
      <c r="G23" s="21" t="str">
        <f ca="1">IFERROR(__xludf.DUMMYFUNCTION("VLOOKUP($B52,FILTER('Kode Gejala + G44.2'!$B$2:$M$229, 'Kode Gejala + G44.2'!$M$2:$M$229&lt;&gt;""""),12,FALSE)"),"G0,G614,G61,O,O,O,T")</f>
        <v>G0,G614,G61,O,O,O,T</v>
      </c>
    </row>
    <row r="24" spans="1:7" ht="52.8" x14ac:dyDescent="0.3">
      <c r="A24" s="5">
        <v>23</v>
      </c>
      <c r="B24" s="19" t="s">
        <v>67</v>
      </c>
      <c r="C24" s="19" t="s">
        <v>33</v>
      </c>
      <c r="D24" s="22" t="s">
        <v>10</v>
      </c>
      <c r="E24" s="25" t="str">
        <f ca="1">IFERROR(__xludf.DUMMYFUNCTION("VLOOKUP($B53,FILTER('Kode Gejala + G44.2'!$B$2:$K$229, 'Kode Gejala + G44.2'!$K$2:$K$229&lt;&gt;""""),10,FALSE)"),"nyeri kepala seprti terkat;dibagian belakang kepala;sejak 2 HSMRS;badan kadang terasa lemas;RPD : Epilepsi pengobatan 4 tahun saat usia 7 tahun")</f>
        <v>nyeri kepala seprti terkat;dibagian belakang kepala;sejak 2 HSMRS;badan kadang terasa lemas;RPD : Epilepsi pengobatan 4 tahun saat usia 7 tahun</v>
      </c>
      <c r="F24" s="31" t="str">
        <f ca="1">IFERROR(__xludf.DUMMYFUNCTION("VLOOKUP($B53,FILTER('Kode Gejala + G44.2'!$B$2:$L$229, 'Kode Gejala + G44.2'!$L$2:$L$229&lt;&gt;""""),11,FALSE)"),"nyeri kepala seperti terikat;dibagian belakang kepala;sejak 2 HSMRS;badan kadang terasa lemas;RPD Epilepsi pengobatan 4 tahun saat usia 7 tahun")</f>
        <v>nyeri kepala seperti terikat;dibagian belakang kepala;sejak 2 HSMRS;badan kadang terasa lemas;RPD Epilepsi pengobatan 4 tahun saat usia 7 tahun</v>
      </c>
      <c r="G24" s="21" t="str">
        <f ca="1">IFERROR(__xludf.DUMMYFUNCTION("VLOOKUP($B53,FILTER('Kode Gejala + G44.2'!$B$2:$M$229, 'Kode Gejala + G44.2'!$M$2:$M$229&lt;&gt;""""),12,FALSE)"),"G15,G21,G51,O,O")</f>
        <v>G15,G21,G51,O,O</v>
      </c>
    </row>
    <row r="25" spans="1:7" ht="39.6" x14ac:dyDescent="0.3">
      <c r="A25" s="5">
        <v>24</v>
      </c>
      <c r="B25" s="19" t="s">
        <v>68</v>
      </c>
      <c r="C25" s="19" t="s">
        <v>32</v>
      </c>
      <c r="D25" s="19" t="s">
        <v>10</v>
      </c>
      <c r="E25" s="25" t="str">
        <f ca="1">IFERROR(__xludf.DUMMYFUNCTION("VLOOKUP($B54,FILTER('Kode Gejala + G44.2'!$B$2:$K$229, 'Kode Gejala + G44.2'!$K$2:$K$229&lt;&gt;""""),10,FALSE)"),"Badan terasa gatal2 (+);Kemerahan (-);+-1minggu Kepala terasa pusing (+);Gliyer (+);Mual Muntah (-)")</f>
        <v>Badan terasa gatal2 (+);Kemerahan (-);+-1minggu Kepala terasa pusing (+);Gliyer (+);Mual Muntah (-)</v>
      </c>
      <c r="F25" s="31" t="str">
        <f ca="1">IFERROR(__xludf.DUMMYFUNCTION("VLOOKUP($B54,FILTER('Kode Gejala + G44.2'!$B$2:$L$229, 'Kode Gejala + G44.2'!$L$2:$L$229&lt;&gt;""""),11,FALSE)"),"Badan terasa gatal gatal;Kemerahan nihil;kurang lebih 1 minggu Kepala terasa pusing;Gliyer;Mual Muntah nihil")</f>
        <v>Badan terasa gatal gatal;Kemerahan nihil;kurang lebih 1 minggu Kepala terasa pusing;Gliyer;Mual Muntah nihil</v>
      </c>
      <c r="G25" s="21" t="str">
        <f ca="1">IFERROR(__xludf.DUMMYFUNCTION("VLOOKUP($B54,FILTER('Kode Gejala + G44.2'!$B$2:$M$229, 'Kode Gejala + G44.2'!$M$2:$M$229&lt;&gt;""""),12,FALSE)"),"O,O,G51,O,XG61")</f>
        <v>O,O,G51,O,XG61</v>
      </c>
    </row>
    <row r="26" spans="1:7" ht="52.8" x14ac:dyDescent="0.3">
      <c r="A26" s="5">
        <v>25</v>
      </c>
      <c r="B26" s="19" t="s">
        <v>69</v>
      </c>
      <c r="C26" s="19" t="s">
        <v>25</v>
      </c>
      <c r="D26" s="22" t="s">
        <v>10</v>
      </c>
      <c r="E26" s="25" t="str">
        <f ca="1">IFERROR(__xludf.DUMMYFUNCTION("VLOOKUP($B58,FILTER('Kode Gejala + G44.2'!$B$2:$K$229, 'Kode Gejala + G44.2'!$K$2:$K$229&lt;&gt;""""),10,FALSE)"),"Kliyengan (+);Pusing (+);Mual (-);Muntah (-);Demam (-);Pusing berputar (-);+-4hari;Alergi obat (-);gerakan kepala terasa berat")</f>
        <v>Kliyengan (+);Pusing (+);Mual (-);Muntah (-);Demam (-);Pusing berputar (-);+-4hari;Alergi obat (-);gerakan kepala terasa berat</v>
      </c>
      <c r="F26" s="31" t="str">
        <f ca="1">IFERROR(__xludf.DUMMYFUNCTION("VLOOKUP($B58,FILTER('Kode Gejala + G44.2'!$B$2:$L$229, 'Kode Gejala + G44.2'!$L$2:$L$229&lt;&gt;""""),11,FALSE)"),"Kliyengan;Pusing;Mual nihil;Muntah nihil;Demam nihil;Pusing berputar nihil;kurang lebih 4 hari;Alergi obat nihil;gerakan kepala terasa berat")</f>
        <v>Kliyengan;Pusing;Mual nihil;Muntah nihil;Demam nihil;Pusing berputar nihil;kurang lebih 4 hari;Alergi obat nihil;gerakan kepala terasa berat</v>
      </c>
      <c r="G26" s="21" t="str">
        <f ca="1">IFERROR(__xludf.DUMMYFUNCTION("VLOOKUP($B58,FILTER('Kode Gejala + G44.2'!$B$2:$M$229, 'Kode Gejala + G44.2'!$M$2:$M$229&lt;&gt;""""),12,FALSE)"),"G0,G0,XG61,XG62,O,O,G51,T,G13")</f>
        <v>G0,G0,XG61,XG62,O,O,G51,T,G13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 1.1 Case</vt:lpstr>
      <vt:lpstr>Data 1.1 Case (remove formula)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Muhammmad Dedad Fajar</dc:creator>
  <cp:lastModifiedBy>admin</cp:lastModifiedBy>
  <dcterms:created xsi:type="dcterms:W3CDTF">2015-06-05T18:17:20Z</dcterms:created>
  <dcterms:modified xsi:type="dcterms:W3CDTF">2026-08-05T08:05:09Z</dcterms:modified>
  <cp:contentStatus/>
</cp:coreProperties>
</file>